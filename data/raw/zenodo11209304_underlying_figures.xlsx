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ipt-my.sharepoint.com/personal/bernardo_antunes_ubi_pt/Documents/Postdoc HUJI-FUB/Manuscripts/Mine/PLOS Biology/Refubium/"/>
    </mc:Choice>
  </mc:AlternateContent>
  <xr:revisionPtr revIDLastSave="19" documentId="13_ncr:1_{EA82D7C1-47BB-447A-A654-9C03F187A75C}" xr6:coauthVersionLast="47" xr6:coauthVersionMax="47" xr10:uidLastSave="{FDD64611-D4FC-4992-A410-9350E02654BD}"/>
  <bookViews>
    <workbookView xWindow="-108" yWindow="-108" windowWidth="23256" windowHeight="12456" firstSheet="4" activeTab="13" xr2:uid="{15D18DFE-B01E-4C85-A375-250A25664D36}"/>
  </bookViews>
  <sheets>
    <sheet name="Fig. 1 + 3" sheetId="1" r:id="rId1"/>
    <sheet name="Fig. 4" sheetId="2" r:id="rId2"/>
    <sheet name="Fig. S1A+B" sheetId="3" r:id="rId3"/>
    <sheet name="Fig. S3" sheetId="10" r:id="rId4"/>
    <sheet name="Fig. S4" sheetId="5" r:id="rId5"/>
    <sheet name="Fig. S5" sheetId="6" r:id="rId6"/>
    <sheet name="Fig. S6" sheetId="7" r:id="rId7"/>
    <sheet name="Fig. S7" sheetId="8" r:id="rId8"/>
    <sheet name="Fig. S8" sheetId="9" r:id="rId9"/>
    <sheet name="Fig. S9" sheetId="12" r:id="rId10"/>
    <sheet name="Fig. S10" sheetId="13" r:id="rId11"/>
    <sheet name="Fig. S11" sheetId="14" r:id="rId12"/>
    <sheet name="Fig. S12" sheetId="15" r:id="rId13"/>
    <sheet name="Fig. S13" sheetId="16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7" l="1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2" i="7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tc={4BCD6F04-B8DC-4C5B-88AF-82B7493E9710}</author>
  </authors>
  <commentList>
    <comment ref="B1" authorId="0" shapeId="0" xr:uid="{4BCD6F04-B8DC-4C5B-88AF-82B7493E9710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There's only 1 replicate here because we used only the most resistant strain for each treatment</t>
      </text>
    </comment>
  </commentList>
</comments>
</file>

<file path=xl/sharedStrings.xml><?xml version="1.0" encoding="utf-8"?>
<sst xmlns="http://schemas.openxmlformats.org/spreadsheetml/2006/main" count="1628" uniqueCount="177">
  <si>
    <t>Control CecropinP1 1.1</t>
  </si>
  <si>
    <t>Control CecropinP1 1.2</t>
  </si>
  <si>
    <t>Control CecropinP1 1.3</t>
  </si>
  <si>
    <t>Control CecropinP1 2.1</t>
  </si>
  <si>
    <t>Control CecropinP1 2.2</t>
  </si>
  <si>
    <t>Control CecropinP1 2.3</t>
  </si>
  <si>
    <t>PA-13</t>
  </si>
  <si>
    <t>Control PA-13 1.1</t>
  </si>
  <si>
    <t>Control PA-13 1.2</t>
  </si>
  <si>
    <t>Control PA-13 1.3</t>
  </si>
  <si>
    <t>Control PA-13 2.1</t>
  </si>
  <si>
    <t>Control PA-13 2.2</t>
  </si>
  <si>
    <t>Control PA-13 2.3</t>
  </si>
  <si>
    <t>SLM1</t>
  </si>
  <si>
    <t>Control SLM1 1.1</t>
  </si>
  <si>
    <t>Control SLM1 1.2</t>
  </si>
  <si>
    <t>Control SLM1 1.3</t>
  </si>
  <si>
    <t>Control SLM1 2.1</t>
  </si>
  <si>
    <t>Control SLM1 2.2</t>
  </si>
  <si>
    <t>Control SLM1 2.3</t>
  </si>
  <si>
    <t>Control SLM3 1.1</t>
  </si>
  <si>
    <t>Control SLM3 1.2</t>
  </si>
  <si>
    <t>Control SLM3 1.3</t>
  </si>
  <si>
    <t>Control SLM3 2.1</t>
  </si>
  <si>
    <t>Control SLM3 2.2</t>
  </si>
  <si>
    <t>Control SLM3 2.3</t>
  </si>
  <si>
    <t>p-FdK5</t>
  </si>
  <si>
    <t>Control p-FdK5 1.1</t>
  </si>
  <si>
    <t>Control p-FdK5 1.2</t>
  </si>
  <si>
    <t>Control p-FdK5 1.3</t>
  </si>
  <si>
    <t>Control p-FdK5 2.1</t>
  </si>
  <si>
    <t>Control p-FdK5 2.2</t>
  </si>
  <si>
    <t>Control p-FdK5 3.2</t>
  </si>
  <si>
    <t>Control p-FdK5 20/80 1.1</t>
  </si>
  <si>
    <t>Control p-FdK5 20/80 1.2</t>
  </si>
  <si>
    <t>Control p-FdK5 20/80 1.3</t>
  </si>
  <si>
    <t>Control p-FdK5 20/80 2.1</t>
  </si>
  <si>
    <t>Control p-FdK5 20/80 2.2</t>
  </si>
  <si>
    <t>Control p-FdK5 20/80 2.3</t>
  </si>
  <si>
    <t>FK20</t>
  </si>
  <si>
    <t>Control FK20 1.1</t>
  </si>
  <si>
    <t>Control FK20 1.2</t>
  </si>
  <si>
    <t>Control FK20 1.3</t>
  </si>
  <si>
    <t>Control FK20 2.1</t>
  </si>
  <si>
    <t>Control FK20 2.2</t>
  </si>
  <si>
    <t>Control FK20 2.3</t>
  </si>
  <si>
    <t>MIC fold-change</t>
  </si>
  <si>
    <t>Strain</t>
  </si>
  <si>
    <t>Melittin 1.1</t>
  </si>
  <si>
    <t>Melittin 1.2</t>
  </si>
  <si>
    <t>Melittin 1.3</t>
  </si>
  <si>
    <t>Control Melittin 1.1</t>
  </si>
  <si>
    <t>Control Melittin 1.2</t>
  </si>
  <si>
    <t>Control Melittin 1.3</t>
  </si>
  <si>
    <t>Melittin 2.1</t>
  </si>
  <si>
    <t>Melittin 2.2</t>
  </si>
  <si>
    <t>Melittin 2.3</t>
  </si>
  <si>
    <t>Control Melittin 2.1</t>
  </si>
  <si>
    <t>Control Melittin 2.2</t>
  </si>
  <si>
    <t>Control Melittin 2.3</t>
  </si>
  <si>
    <t>Pexiganan 1.1</t>
  </si>
  <si>
    <t>Pexiganan 1.2</t>
  </si>
  <si>
    <t>Pexiganan 1.3</t>
  </si>
  <si>
    <t>Control Pexiganan 1.1</t>
  </si>
  <si>
    <t>Control Pexiganan 1.2</t>
  </si>
  <si>
    <t>Control Pexiganan 1.3</t>
  </si>
  <si>
    <t>Pexiganan 2.1</t>
  </si>
  <si>
    <t>Pexiganan 2.2</t>
  </si>
  <si>
    <t>Pexiganan 2.3</t>
  </si>
  <si>
    <t>Control Pexiganan 2.1</t>
  </si>
  <si>
    <t>Control Pexiganan 2.2</t>
  </si>
  <si>
    <t>Control Pexiganan 2.3</t>
  </si>
  <si>
    <t>CecropinP1_1.1</t>
  </si>
  <si>
    <t>CecropinP1_1.2</t>
  </si>
  <si>
    <t>CecropinP1_1.3</t>
  </si>
  <si>
    <t>CecropinP1 2.1</t>
  </si>
  <si>
    <t>CecropinP1 2.2</t>
  </si>
  <si>
    <t>CecropinP1 2.3</t>
  </si>
  <si>
    <t>PA-13 1.1</t>
  </si>
  <si>
    <t>PA-13 1.2</t>
  </si>
  <si>
    <t>PA-13 1.3</t>
  </si>
  <si>
    <t>SLM3 1.1</t>
  </si>
  <si>
    <t>SLM3 1.2</t>
  </si>
  <si>
    <t>SLM3 1.3</t>
  </si>
  <si>
    <t>PA-13 2.1</t>
  </si>
  <si>
    <t>PA-13 2.2</t>
  </si>
  <si>
    <t>PA-13 2.3</t>
  </si>
  <si>
    <t>SLM1 1.1</t>
  </si>
  <si>
    <t>SLM1 1.2</t>
  </si>
  <si>
    <t>SLM1 1.3</t>
  </si>
  <si>
    <t>SLM1 2.1</t>
  </si>
  <si>
    <t>SLM1 2.2</t>
  </si>
  <si>
    <t>SLM1 2.3</t>
  </si>
  <si>
    <t>SLM3 2.1</t>
  </si>
  <si>
    <t>SLM3 2.2</t>
  </si>
  <si>
    <t>SLM3 2.3</t>
  </si>
  <si>
    <t>p-FdK5 1.1</t>
  </si>
  <si>
    <t>p-FdK5 1.2</t>
  </si>
  <si>
    <t>p-FdK5 1.3</t>
  </si>
  <si>
    <t>p-FdK5 2.1</t>
  </si>
  <si>
    <t>p-FdK5 2.2</t>
  </si>
  <si>
    <t>p-FdK5 2.3</t>
  </si>
  <si>
    <t>p-FdK5 20/80 1.1</t>
  </si>
  <si>
    <t>p-FdK5 20/80 1.2</t>
  </si>
  <si>
    <t>p-FdK5 20/80 1.3</t>
  </si>
  <si>
    <t>p-FdK5 20/80 2.1</t>
  </si>
  <si>
    <t>p-FdK5 20/80 2.2</t>
  </si>
  <si>
    <t>p-FdK5 20/80 2.3</t>
  </si>
  <si>
    <t>FK20 1.1</t>
  </si>
  <si>
    <t>FK20 1.2</t>
  </si>
  <si>
    <t>FK20 1.3</t>
  </si>
  <si>
    <t>FK20 2.1</t>
  </si>
  <si>
    <t>FK20 2.2</t>
  </si>
  <si>
    <t>FK20 2.3</t>
  </si>
  <si>
    <t>Treatment</t>
  </si>
  <si>
    <t>Kappa fold-change (n=3)</t>
  </si>
  <si>
    <t>SD (Kappa)</t>
  </si>
  <si>
    <t>Melittin</t>
  </si>
  <si>
    <t>Pexiganan</t>
  </si>
  <si>
    <t>CP1</t>
  </si>
  <si>
    <t>PA13</t>
  </si>
  <si>
    <t>p-FdK5 20/80</t>
  </si>
  <si>
    <t>Vmax</t>
  </si>
  <si>
    <t>Control 1.1</t>
  </si>
  <si>
    <t>Control 1.2</t>
  </si>
  <si>
    <t>Control 2.1</t>
  </si>
  <si>
    <t>Control 2.2</t>
  </si>
  <si>
    <t>Control 2.3</t>
  </si>
  <si>
    <t>MIC fold-change (x1000)</t>
  </si>
  <si>
    <t>Lag time fold-change (x100)</t>
  </si>
  <si>
    <t>Lag time</t>
  </si>
  <si>
    <t>tpbB</t>
  </si>
  <si>
    <t>MIC_melittin</t>
  </si>
  <si>
    <t>MIC_pexiganan</t>
  </si>
  <si>
    <t>MIC_cecropin P1</t>
  </si>
  <si>
    <t>MIC_PA-13</t>
  </si>
  <si>
    <t>MIC_FK20</t>
  </si>
  <si>
    <t>none</t>
  </si>
  <si>
    <t>lasR</t>
  </si>
  <si>
    <t>oprL</t>
  </si>
  <si>
    <t>wbpA</t>
  </si>
  <si>
    <t>qseC
2</t>
  </si>
  <si>
    <t>Mutation</t>
  </si>
  <si>
    <t>phoQ</t>
  </si>
  <si>
    <t>wbpI</t>
  </si>
  <si>
    <t>Cecropin P1</t>
  </si>
  <si>
    <t>sdiA</t>
  </si>
  <si>
    <t>wbpL</t>
  </si>
  <si>
    <t>ttgR</t>
  </si>
  <si>
    <t>aguA
1</t>
  </si>
  <si>
    <t>cheB
2</t>
  </si>
  <si>
    <t>ptsP</t>
  </si>
  <si>
    <t>htpX
1</t>
  </si>
  <si>
    <t>mexR</t>
  </si>
  <si>
    <t>caiC</t>
  </si>
  <si>
    <t>MIC_SLM1</t>
  </si>
  <si>
    <t>MIC_SLM3</t>
  </si>
  <si>
    <t>MIC_p-FdK5</t>
  </si>
  <si>
    <t>MIC_p-FdK5 20/80</t>
  </si>
  <si>
    <t>wbp genes</t>
  </si>
  <si>
    <t>CecropinP1 1.1</t>
  </si>
  <si>
    <t>CecropinP1 1.2</t>
  </si>
  <si>
    <t>CecropinP1 1.3</t>
  </si>
  <si>
    <t>Control Cecropin P1 1.1</t>
  </si>
  <si>
    <t>Control Cecropin P1 1.2</t>
  </si>
  <si>
    <t>Control Cecropin P1 1.3</t>
  </si>
  <si>
    <t>Control Cecropin P1 2.1</t>
  </si>
  <si>
    <t>Control Cecropin P1 2.2</t>
  </si>
  <si>
    <t>Control Cecropin P1 2.3</t>
  </si>
  <si>
    <t>Cecropin P1 1.1</t>
  </si>
  <si>
    <t>Cecropin P1 1.2</t>
  </si>
  <si>
    <t>Cecropin P1 1.3</t>
  </si>
  <si>
    <t>Cecropin P1 2.1</t>
  </si>
  <si>
    <t>Cecropin P1 2.2</t>
  </si>
  <si>
    <t>Cecropin P1 2.3</t>
  </si>
  <si>
    <t>Vmax fold-change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</si>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</sst>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6" fillId="0" borderId="0" xfId="0" applyFont="1"/>
    <xf numFmtId="0" fontId="18" fillId="0" borderId="0" xfId="0" applyFont="1"/>
    <xf numFmtId="164" fontId="0" fillId="0" borderId="0" xfId="0" applyNumberFormat="1"/>
    <xf numFmtId="0" fontId="16" fillId="0" borderId="10" xfId="0" applyFont="1" applyBorder="1"/>
    <xf numFmtId="0" fontId="16" fillId="0" borderId="13" xfId="0" applyFont="1" applyBorder="1"/>
    <xf numFmtId="0" fontId="16" fillId="0" borderId="14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0" fillId="0" borderId="13" xfId="0" applyFont="1" applyBorder="1" applyAlignment="1">
      <alignment horizontal="left"/>
    </xf>
    <xf numFmtId="0" fontId="20" fillId="0" borderId="0" xfId="0" applyFont="1"/>
    <xf numFmtId="0" fontId="20" fillId="0" borderId="14" xfId="0" applyFont="1" applyBorder="1"/>
    <xf numFmtId="0" fontId="20" fillId="0" borderId="15" xfId="0" applyFont="1" applyBorder="1" applyAlignment="1">
      <alignment horizontal="left"/>
    </xf>
    <xf numFmtId="0" fontId="20" fillId="0" borderId="16" xfId="0" applyFont="1" applyBorder="1"/>
    <xf numFmtId="0" fontId="20" fillId="0" borderId="17" xfId="0" applyFont="1" applyBorder="1"/>
    <xf numFmtId="0" fontId="19" fillId="0" borderId="11" xfId="0" applyFont="1" applyBorder="1" applyAlignment="1">
      <alignment horizontal="center"/>
    </xf>
    <xf numFmtId="0" fontId="19" fillId="0" borderId="12" xfId="0" applyFont="1" applyBorder="1" applyAlignment="1">
      <alignment horizontal="center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RNARDO PAIVA ANTUNES" id="{6BC63EEE-64DC-4755-B6EE-9336CC7F3303}" userId="S::bernardo.antunes@ubi.pt::c0dc2461-4257-4b46-8934-d4074da5df41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3-10-23T08:45:08.34" personId="{6BC63EEE-64DC-4755-B6EE-9336CC7F3303}" id="{4BCD6F04-B8DC-4C5B-88AF-82B7493E9710}">
    <text>There's only 1 replicate here because we used only the most resistant strain for each treatment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D11E8-1ADD-4596-B4F8-C5AA316D00CF}">
  <dimension ref="A1:B109"/>
  <sheetViews>
    <sheetView topLeftCell="A39" workbookViewId="0">
      <selection activeCell="A32" sqref="A32"/>
    </sheetView>
  </sheetViews>
  <sheetFormatPr defaultRowHeight="14.4" x14ac:dyDescent="0.3"/>
  <cols>
    <col min="1" max="1" width="21" bestFit="1" customWidth="1"/>
    <col min="2" max="2" width="14.44140625" bestFit="1" customWidth="1"/>
  </cols>
  <sheetData>
    <row r="1" spans="1:2" x14ac:dyDescent="0.3">
      <c r="A1" s="1" t="s">
        <v>47</v>
      </c>
      <c r="B1" s="1" t="s">
        <v>46</v>
      </c>
    </row>
    <row r="2" spans="1:2" x14ac:dyDescent="0.3">
      <c r="A2" t="s">
        <v>48</v>
      </c>
      <c r="B2">
        <v>64</v>
      </c>
    </row>
    <row r="3" spans="1:2" x14ac:dyDescent="0.3">
      <c r="A3" t="s">
        <v>49</v>
      </c>
      <c r="B3">
        <v>32</v>
      </c>
    </row>
    <row r="4" spans="1:2" x14ac:dyDescent="0.3">
      <c r="A4" t="s">
        <v>50</v>
      </c>
      <c r="B4">
        <v>32</v>
      </c>
    </row>
    <row r="5" spans="1:2" x14ac:dyDescent="0.3">
      <c r="A5" t="s">
        <v>54</v>
      </c>
      <c r="B5">
        <v>2</v>
      </c>
    </row>
    <row r="6" spans="1:2" x14ac:dyDescent="0.3">
      <c r="A6" t="s">
        <v>55</v>
      </c>
      <c r="B6">
        <v>2</v>
      </c>
    </row>
    <row r="7" spans="1:2" x14ac:dyDescent="0.3">
      <c r="A7" t="s">
        <v>56</v>
      </c>
      <c r="B7">
        <v>4</v>
      </c>
    </row>
    <row r="8" spans="1:2" x14ac:dyDescent="0.3">
      <c r="A8" t="s">
        <v>51</v>
      </c>
      <c r="B8">
        <v>2</v>
      </c>
    </row>
    <row r="9" spans="1:2" x14ac:dyDescent="0.3">
      <c r="A9" t="s">
        <v>52</v>
      </c>
      <c r="B9">
        <v>2</v>
      </c>
    </row>
    <row r="10" spans="1:2" x14ac:dyDescent="0.3">
      <c r="A10" t="s">
        <v>53</v>
      </c>
      <c r="B10">
        <v>1</v>
      </c>
    </row>
    <row r="11" spans="1:2" x14ac:dyDescent="0.3">
      <c r="A11" t="s">
        <v>57</v>
      </c>
      <c r="B11">
        <v>0.5</v>
      </c>
    </row>
    <row r="12" spans="1:2" x14ac:dyDescent="0.3">
      <c r="A12" t="s">
        <v>58</v>
      </c>
      <c r="B12">
        <v>0.5</v>
      </c>
    </row>
    <row r="13" spans="1:2" x14ac:dyDescent="0.3">
      <c r="A13" t="s">
        <v>59</v>
      </c>
      <c r="B13">
        <v>1</v>
      </c>
    </row>
    <row r="14" spans="1:2" x14ac:dyDescent="0.3">
      <c r="A14" t="s">
        <v>60</v>
      </c>
      <c r="B14">
        <v>4</v>
      </c>
    </row>
    <row r="15" spans="1:2" x14ac:dyDescent="0.3">
      <c r="A15" t="s">
        <v>61</v>
      </c>
      <c r="B15">
        <v>16</v>
      </c>
    </row>
    <row r="16" spans="1:2" x14ac:dyDescent="0.3">
      <c r="A16" t="s">
        <v>62</v>
      </c>
      <c r="B16">
        <v>16</v>
      </c>
    </row>
    <row r="17" spans="1:2" x14ac:dyDescent="0.3">
      <c r="A17" t="s">
        <v>66</v>
      </c>
      <c r="B17">
        <v>8</v>
      </c>
    </row>
    <row r="18" spans="1:2" x14ac:dyDescent="0.3">
      <c r="A18" t="s">
        <v>67</v>
      </c>
      <c r="B18">
        <v>8</v>
      </c>
    </row>
    <row r="19" spans="1:2" x14ac:dyDescent="0.3">
      <c r="A19" t="s">
        <v>68</v>
      </c>
      <c r="B19">
        <v>8</v>
      </c>
    </row>
    <row r="20" spans="1:2" x14ac:dyDescent="0.3">
      <c r="A20" t="s">
        <v>63</v>
      </c>
      <c r="B20">
        <v>1</v>
      </c>
    </row>
    <row r="21" spans="1:2" x14ac:dyDescent="0.3">
      <c r="A21" t="s">
        <v>64</v>
      </c>
      <c r="B21">
        <v>1</v>
      </c>
    </row>
    <row r="22" spans="1:2" x14ac:dyDescent="0.3">
      <c r="A22" t="s">
        <v>65</v>
      </c>
      <c r="B22">
        <v>1</v>
      </c>
    </row>
    <row r="23" spans="1:2" x14ac:dyDescent="0.3">
      <c r="A23" t="s">
        <v>69</v>
      </c>
      <c r="B23">
        <v>1</v>
      </c>
    </row>
    <row r="24" spans="1:2" x14ac:dyDescent="0.3">
      <c r="A24" t="s">
        <v>70</v>
      </c>
      <c r="B24">
        <v>2</v>
      </c>
    </row>
    <row r="25" spans="1:2" x14ac:dyDescent="0.3">
      <c r="A25" t="s">
        <v>71</v>
      </c>
      <c r="B25">
        <v>1</v>
      </c>
    </row>
    <row r="26" spans="1:2" x14ac:dyDescent="0.3">
      <c r="A26" t="s">
        <v>169</v>
      </c>
      <c r="B26">
        <v>8</v>
      </c>
    </row>
    <row r="27" spans="1:2" x14ac:dyDescent="0.3">
      <c r="A27" t="s">
        <v>170</v>
      </c>
      <c r="B27">
        <v>4</v>
      </c>
    </row>
    <row r="28" spans="1:2" x14ac:dyDescent="0.3">
      <c r="A28" t="s">
        <v>171</v>
      </c>
      <c r="B28">
        <v>8</v>
      </c>
    </row>
    <row r="29" spans="1:2" x14ac:dyDescent="0.3">
      <c r="A29" t="s">
        <v>172</v>
      </c>
      <c r="B29">
        <v>8</v>
      </c>
    </row>
    <row r="30" spans="1:2" x14ac:dyDescent="0.3">
      <c r="A30" t="s">
        <v>173</v>
      </c>
      <c r="B30">
        <v>128</v>
      </c>
    </row>
    <row r="31" spans="1:2" x14ac:dyDescent="0.3">
      <c r="A31" t="s">
        <v>174</v>
      </c>
      <c r="B31">
        <v>8</v>
      </c>
    </row>
    <row r="32" spans="1:2" x14ac:dyDescent="0.3">
      <c r="A32" t="s">
        <v>163</v>
      </c>
      <c r="B32">
        <v>4</v>
      </c>
    </row>
    <row r="33" spans="1:2" x14ac:dyDescent="0.3">
      <c r="A33" t="s">
        <v>164</v>
      </c>
      <c r="B33">
        <v>4</v>
      </c>
    </row>
    <row r="34" spans="1:2" x14ac:dyDescent="0.3">
      <c r="A34" t="s">
        <v>165</v>
      </c>
      <c r="B34">
        <v>4</v>
      </c>
    </row>
    <row r="35" spans="1:2" x14ac:dyDescent="0.3">
      <c r="A35" t="s">
        <v>166</v>
      </c>
      <c r="B35">
        <v>8</v>
      </c>
    </row>
    <row r="36" spans="1:2" x14ac:dyDescent="0.3">
      <c r="A36" t="s">
        <v>167</v>
      </c>
      <c r="B36">
        <v>8</v>
      </c>
    </row>
    <row r="37" spans="1:2" x14ac:dyDescent="0.3">
      <c r="A37" t="s">
        <v>168</v>
      </c>
      <c r="B37">
        <v>8</v>
      </c>
    </row>
    <row r="38" spans="1:2" x14ac:dyDescent="0.3">
      <c r="A38" t="s">
        <v>78</v>
      </c>
      <c r="B38">
        <v>4</v>
      </c>
    </row>
    <row r="39" spans="1:2" x14ac:dyDescent="0.3">
      <c r="A39" t="s">
        <v>79</v>
      </c>
      <c r="B39">
        <v>4</v>
      </c>
    </row>
    <row r="40" spans="1:2" x14ac:dyDescent="0.3">
      <c r="A40" t="s">
        <v>80</v>
      </c>
      <c r="B40">
        <v>4</v>
      </c>
    </row>
    <row r="41" spans="1:2" x14ac:dyDescent="0.3">
      <c r="A41" t="s">
        <v>84</v>
      </c>
      <c r="B41">
        <v>4</v>
      </c>
    </row>
    <row r="42" spans="1:2" x14ac:dyDescent="0.3">
      <c r="A42" t="s">
        <v>85</v>
      </c>
      <c r="B42">
        <v>8</v>
      </c>
    </row>
    <row r="43" spans="1:2" x14ac:dyDescent="0.3">
      <c r="A43" t="s">
        <v>86</v>
      </c>
      <c r="B43">
        <v>2</v>
      </c>
    </row>
    <row r="44" spans="1:2" x14ac:dyDescent="0.3">
      <c r="A44" t="s">
        <v>7</v>
      </c>
      <c r="B44">
        <v>1</v>
      </c>
    </row>
    <row r="45" spans="1:2" x14ac:dyDescent="0.3">
      <c r="A45" t="s">
        <v>8</v>
      </c>
      <c r="B45">
        <v>1</v>
      </c>
    </row>
    <row r="46" spans="1:2" x14ac:dyDescent="0.3">
      <c r="A46" t="s">
        <v>9</v>
      </c>
      <c r="B46">
        <v>1</v>
      </c>
    </row>
    <row r="47" spans="1:2" x14ac:dyDescent="0.3">
      <c r="A47" t="s">
        <v>10</v>
      </c>
      <c r="B47">
        <v>1</v>
      </c>
    </row>
    <row r="48" spans="1:2" x14ac:dyDescent="0.3">
      <c r="A48" t="s">
        <v>11</v>
      </c>
      <c r="B48">
        <v>0.5</v>
      </c>
    </row>
    <row r="49" spans="1:2" x14ac:dyDescent="0.3">
      <c r="A49" t="s">
        <v>12</v>
      </c>
      <c r="B49">
        <v>1</v>
      </c>
    </row>
    <row r="50" spans="1:2" x14ac:dyDescent="0.3">
      <c r="A50" t="s">
        <v>87</v>
      </c>
      <c r="B50">
        <v>4</v>
      </c>
    </row>
    <row r="51" spans="1:2" x14ac:dyDescent="0.3">
      <c r="A51" t="s">
        <v>88</v>
      </c>
      <c r="B51">
        <v>8</v>
      </c>
    </row>
    <row r="52" spans="1:2" x14ac:dyDescent="0.3">
      <c r="A52" t="s">
        <v>89</v>
      </c>
      <c r="B52">
        <v>4</v>
      </c>
    </row>
    <row r="53" spans="1:2" x14ac:dyDescent="0.3">
      <c r="A53" t="s">
        <v>90</v>
      </c>
      <c r="B53">
        <v>4</v>
      </c>
    </row>
    <row r="54" spans="1:2" x14ac:dyDescent="0.3">
      <c r="A54" t="s">
        <v>91</v>
      </c>
      <c r="B54">
        <v>4</v>
      </c>
    </row>
    <row r="55" spans="1:2" x14ac:dyDescent="0.3">
      <c r="A55" t="s">
        <v>92</v>
      </c>
      <c r="B55">
        <v>8</v>
      </c>
    </row>
    <row r="56" spans="1:2" x14ac:dyDescent="0.3">
      <c r="A56" t="s">
        <v>14</v>
      </c>
      <c r="B56">
        <v>2</v>
      </c>
    </row>
    <row r="57" spans="1:2" x14ac:dyDescent="0.3">
      <c r="A57" t="s">
        <v>15</v>
      </c>
      <c r="B57">
        <v>2</v>
      </c>
    </row>
    <row r="58" spans="1:2" x14ac:dyDescent="0.3">
      <c r="A58" t="s">
        <v>16</v>
      </c>
      <c r="B58">
        <v>2</v>
      </c>
    </row>
    <row r="59" spans="1:2" x14ac:dyDescent="0.3">
      <c r="A59" t="s">
        <v>17</v>
      </c>
      <c r="B59">
        <v>2</v>
      </c>
    </row>
    <row r="60" spans="1:2" x14ac:dyDescent="0.3">
      <c r="A60" t="s">
        <v>18</v>
      </c>
      <c r="B60">
        <v>2</v>
      </c>
    </row>
    <row r="61" spans="1:2" x14ac:dyDescent="0.3">
      <c r="A61" t="s">
        <v>19</v>
      </c>
      <c r="B61">
        <v>2</v>
      </c>
    </row>
    <row r="62" spans="1:2" x14ac:dyDescent="0.3">
      <c r="A62" t="s">
        <v>81</v>
      </c>
      <c r="B62">
        <v>16</v>
      </c>
    </row>
    <row r="63" spans="1:2" x14ac:dyDescent="0.3">
      <c r="A63" t="s">
        <v>82</v>
      </c>
      <c r="B63">
        <v>16</v>
      </c>
    </row>
    <row r="64" spans="1:2" x14ac:dyDescent="0.3">
      <c r="A64" t="s">
        <v>83</v>
      </c>
      <c r="B64">
        <v>16</v>
      </c>
    </row>
    <row r="65" spans="1:2" x14ac:dyDescent="0.3">
      <c r="A65" t="s">
        <v>93</v>
      </c>
      <c r="B65">
        <v>16</v>
      </c>
    </row>
    <row r="66" spans="1:2" x14ac:dyDescent="0.3">
      <c r="A66" t="s">
        <v>94</v>
      </c>
      <c r="B66">
        <v>16</v>
      </c>
    </row>
    <row r="67" spans="1:2" x14ac:dyDescent="0.3">
      <c r="A67" t="s">
        <v>95</v>
      </c>
      <c r="B67">
        <v>4</v>
      </c>
    </row>
    <row r="68" spans="1:2" x14ac:dyDescent="0.3">
      <c r="A68" t="s">
        <v>20</v>
      </c>
      <c r="B68">
        <v>4</v>
      </c>
    </row>
    <row r="69" spans="1:2" x14ac:dyDescent="0.3">
      <c r="A69" t="s">
        <v>21</v>
      </c>
      <c r="B69">
        <v>4</v>
      </c>
    </row>
    <row r="70" spans="1:2" x14ac:dyDescent="0.3">
      <c r="A70" t="s">
        <v>22</v>
      </c>
      <c r="B70">
        <v>2</v>
      </c>
    </row>
    <row r="71" spans="1:2" x14ac:dyDescent="0.3">
      <c r="A71" t="s">
        <v>23</v>
      </c>
      <c r="B71">
        <v>2</v>
      </c>
    </row>
    <row r="72" spans="1:2" x14ac:dyDescent="0.3">
      <c r="A72" t="s">
        <v>24</v>
      </c>
      <c r="B72">
        <v>2</v>
      </c>
    </row>
    <row r="73" spans="1:2" x14ac:dyDescent="0.3">
      <c r="A73" t="s">
        <v>25</v>
      </c>
      <c r="B73">
        <v>2</v>
      </c>
    </row>
    <row r="74" spans="1:2" x14ac:dyDescent="0.3">
      <c r="A74" t="s">
        <v>96</v>
      </c>
      <c r="B74">
        <v>2</v>
      </c>
    </row>
    <row r="75" spans="1:2" x14ac:dyDescent="0.3">
      <c r="A75" t="s">
        <v>97</v>
      </c>
      <c r="B75">
        <v>2</v>
      </c>
    </row>
    <row r="76" spans="1:2" x14ac:dyDescent="0.3">
      <c r="A76" t="s">
        <v>98</v>
      </c>
      <c r="B76">
        <v>2</v>
      </c>
    </row>
    <row r="77" spans="1:2" x14ac:dyDescent="0.3">
      <c r="A77" t="s">
        <v>99</v>
      </c>
      <c r="B77">
        <v>2</v>
      </c>
    </row>
    <row r="78" spans="1:2" x14ac:dyDescent="0.3">
      <c r="A78" t="s">
        <v>100</v>
      </c>
      <c r="B78">
        <v>1</v>
      </c>
    </row>
    <row r="79" spans="1:2" x14ac:dyDescent="0.3">
      <c r="A79" t="s">
        <v>101</v>
      </c>
      <c r="B79">
        <v>1</v>
      </c>
    </row>
    <row r="80" spans="1:2" x14ac:dyDescent="0.3">
      <c r="A80" t="s">
        <v>27</v>
      </c>
      <c r="B80">
        <v>1</v>
      </c>
    </row>
    <row r="81" spans="1:2" x14ac:dyDescent="0.3">
      <c r="A81" t="s">
        <v>28</v>
      </c>
      <c r="B81">
        <v>1</v>
      </c>
    </row>
    <row r="82" spans="1:2" x14ac:dyDescent="0.3">
      <c r="A82" t="s">
        <v>29</v>
      </c>
      <c r="B82">
        <v>1</v>
      </c>
    </row>
    <row r="83" spans="1:2" x14ac:dyDescent="0.3">
      <c r="A83" t="s">
        <v>30</v>
      </c>
      <c r="B83">
        <v>1</v>
      </c>
    </row>
    <row r="84" spans="1:2" x14ac:dyDescent="0.3">
      <c r="A84" t="s">
        <v>31</v>
      </c>
      <c r="B84">
        <v>0.5</v>
      </c>
    </row>
    <row r="85" spans="1:2" x14ac:dyDescent="0.3">
      <c r="A85" t="s">
        <v>32</v>
      </c>
      <c r="B85">
        <v>0.5</v>
      </c>
    </row>
    <row r="86" spans="1:2" x14ac:dyDescent="0.3">
      <c r="A86" t="s">
        <v>102</v>
      </c>
      <c r="B86">
        <v>2</v>
      </c>
    </row>
    <row r="87" spans="1:2" x14ac:dyDescent="0.3">
      <c r="A87" t="s">
        <v>103</v>
      </c>
      <c r="B87">
        <v>2</v>
      </c>
    </row>
    <row r="88" spans="1:2" x14ac:dyDescent="0.3">
      <c r="A88" t="s">
        <v>104</v>
      </c>
      <c r="B88">
        <v>4</v>
      </c>
    </row>
    <row r="89" spans="1:2" x14ac:dyDescent="0.3">
      <c r="A89" t="s">
        <v>105</v>
      </c>
      <c r="B89">
        <v>2</v>
      </c>
    </row>
    <row r="90" spans="1:2" x14ac:dyDescent="0.3">
      <c r="A90" t="s">
        <v>106</v>
      </c>
      <c r="B90">
        <v>1</v>
      </c>
    </row>
    <row r="91" spans="1:2" x14ac:dyDescent="0.3">
      <c r="A91" t="s">
        <v>107</v>
      </c>
      <c r="B91">
        <v>1</v>
      </c>
    </row>
    <row r="92" spans="1:2" x14ac:dyDescent="0.3">
      <c r="A92" t="s">
        <v>33</v>
      </c>
      <c r="B92">
        <v>1</v>
      </c>
    </row>
    <row r="93" spans="1:2" x14ac:dyDescent="0.3">
      <c r="A93" t="s">
        <v>34</v>
      </c>
      <c r="B93">
        <v>2</v>
      </c>
    </row>
    <row r="94" spans="1:2" x14ac:dyDescent="0.3">
      <c r="A94" t="s">
        <v>35</v>
      </c>
      <c r="B94">
        <v>1</v>
      </c>
    </row>
    <row r="95" spans="1:2" x14ac:dyDescent="0.3">
      <c r="A95" t="s">
        <v>36</v>
      </c>
      <c r="B95">
        <v>0.5</v>
      </c>
    </row>
    <row r="96" spans="1:2" x14ac:dyDescent="0.3">
      <c r="A96" t="s">
        <v>37</v>
      </c>
      <c r="B96">
        <v>0.5</v>
      </c>
    </row>
    <row r="97" spans="1:2" x14ac:dyDescent="0.3">
      <c r="A97" t="s">
        <v>38</v>
      </c>
      <c r="B97">
        <v>0.5</v>
      </c>
    </row>
    <row r="98" spans="1:2" x14ac:dyDescent="0.3">
      <c r="A98" t="s">
        <v>108</v>
      </c>
      <c r="B98">
        <v>0.5</v>
      </c>
    </row>
    <row r="99" spans="1:2" x14ac:dyDescent="0.3">
      <c r="A99" t="s">
        <v>109</v>
      </c>
      <c r="B99">
        <v>1</v>
      </c>
    </row>
    <row r="100" spans="1:2" x14ac:dyDescent="0.3">
      <c r="A100" t="s">
        <v>110</v>
      </c>
      <c r="B100">
        <v>1</v>
      </c>
    </row>
    <row r="101" spans="1:2" x14ac:dyDescent="0.3">
      <c r="A101" t="s">
        <v>111</v>
      </c>
      <c r="B101">
        <v>0.5</v>
      </c>
    </row>
    <row r="102" spans="1:2" x14ac:dyDescent="0.3">
      <c r="A102" t="s">
        <v>112</v>
      </c>
      <c r="B102">
        <v>0.5</v>
      </c>
    </row>
    <row r="103" spans="1:2" x14ac:dyDescent="0.3">
      <c r="A103" t="s">
        <v>113</v>
      </c>
      <c r="B103">
        <v>0.5</v>
      </c>
    </row>
    <row r="104" spans="1:2" x14ac:dyDescent="0.3">
      <c r="A104" t="s">
        <v>40</v>
      </c>
      <c r="B104">
        <v>0.5</v>
      </c>
    </row>
    <row r="105" spans="1:2" x14ac:dyDescent="0.3">
      <c r="A105" t="s">
        <v>41</v>
      </c>
      <c r="B105">
        <v>0.5</v>
      </c>
    </row>
    <row r="106" spans="1:2" x14ac:dyDescent="0.3">
      <c r="A106" t="s">
        <v>42</v>
      </c>
      <c r="B106">
        <v>0.5</v>
      </c>
    </row>
    <row r="107" spans="1:2" x14ac:dyDescent="0.3">
      <c r="A107" t="s">
        <v>43</v>
      </c>
      <c r="B107">
        <v>0.25</v>
      </c>
    </row>
    <row r="108" spans="1:2" x14ac:dyDescent="0.3">
      <c r="A108" t="s">
        <v>44</v>
      </c>
      <c r="B108">
        <v>0.125</v>
      </c>
    </row>
    <row r="109" spans="1:2" x14ac:dyDescent="0.3">
      <c r="A109" t="s">
        <v>45</v>
      </c>
      <c r="B109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BF5F2-BCC8-4B8B-A5FC-D3E3BE041C2B}">
  <dimension ref="A1:AB9"/>
  <sheetViews>
    <sheetView workbookViewId="0">
      <selection activeCell="B20" sqref="B20"/>
    </sheetView>
  </sheetViews>
  <sheetFormatPr defaultRowHeight="14.4" x14ac:dyDescent="0.3"/>
  <cols>
    <col min="1" max="1" width="13.44140625" bestFit="1" customWidth="1"/>
    <col min="2" max="2" width="15.109375" bestFit="1" customWidth="1"/>
    <col min="3" max="3" width="22.109375" bestFit="1" customWidth="1"/>
    <col min="4" max="4" width="10.33203125" bestFit="1" customWidth="1"/>
  </cols>
  <sheetData>
    <row r="1" spans="1:28" x14ac:dyDescent="0.3">
      <c r="A1" s="1" t="s">
        <v>114</v>
      </c>
      <c r="B1" s="1" t="s">
        <v>46</v>
      </c>
      <c r="C1" s="1" t="s">
        <v>115</v>
      </c>
      <c r="D1" s="1" t="s">
        <v>116</v>
      </c>
    </row>
    <row r="2" spans="1:28" x14ac:dyDescent="0.3">
      <c r="A2" t="s">
        <v>117</v>
      </c>
      <c r="B2" s="2">
        <v>64</v>
      </c>
      <c r="C2" s="2">
        <v>9.0543999999999999E-2</v>
      </c>
      <c r="D2" s="2">
        <v>8.5385000000000003E-2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x14ac:dyDescent="0.3">
      <c r="A3" t="s">
        <v>118</v>
      </c>
      <c r="B3" s="2">
        <v>16</v>
      </c>
      <c r="C3" s="2">
        <v>0.506907</v>
      </c>
      <c r="D3" s="2">
        <v>0.215725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8" x14ac:dyDescent="0.3">
      <c r="A4" t="s">
        <v>119</v>
      </c>
      <c r="B4" s="2">
        <v>128</v>
      </c>
      <c r="C4" s="2">
        <v>0.32634000000000002</v>
      </c>
      <c r="D4" s="2">
        <v>8.1101000000000006E-2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8" x14ac:dyDescent="0.3">
      <c r="A5" t="s">
        <v>120</v>
      </c>
      <c r="B5" s="2">
        <v>8</v>
      </c>
      <c r="C5" s="2">
        <v>0.46032899999999999</v>
      </c>
      <c r="D5" s="2">
        <v>0.14738000000000001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28" x14ac:dyDescent="0.3">
      <c r="A6" t="s">
        <v>13</v>
      </c>
      <c r="B6" s="2">
        <v>8</v>
      </c>
      <c r="C6" s="2">
        <v>0.33292300000000002</v>
      </c>
      <c r="D6" s="2">
        <v>0.14019100000000001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28" x14ac:dyDescent="0.3">
      <c r="A7" t="s">
        <v>26</v>
      </c>
      <c r="B7" s="2">
        <v>2</v>
      </c>
      <c r="C7" s="2">
        <v>0.53377399999999997</v>
      </c>
      <c r="D7" s="2">
        <v>0.135967</v>
      </c>
      <c r="E7" s="2"/>
      <c r="F7" s="2"/>
      <c r="G7" s="2"/>
      <c r="H7" s="2"/>
      <c r="I7" s="2"/>
      <c r="J7" s="2"/>
      <c r="K7" s="2"/>
      <c r="L7" s="2"/>
      <c r="M7" s="2"/>
    </row>
    <row r="8" spans="1:28" x14ac:dyDescent="0.3">
      <c r="A8" t="s">
        <v>121</v>
      </c>
      <c r="B8" s="2">
        <v>4</v>
      </c>
      <c r="C8" s="2">
        <v>1.27054</v>
      </c>
      <c r="D8" s="2">
        <v>0.50278599999999996</v>
      </c>
      <c r="E8" s="2"/>
      <c r="F8" s="2"/>
      <c r="G8" s="2"/>
      <c r="H8" s="2"/>
      <c r="I8" s="2"/>
      <c r="J8" s="2"/>
    </row>
    <row r="9" spans="1:28" x14ac:dyDescent="0.3">
      <c r="A9" t="s">
        <v>39</v>
      </c>
      <c r="B9" s="2">
        <v>1</v>
      </c>
      <c r="C9" s="2">
        <v>1.484926</v>
      </c>
      <c r="D9" s="2">
        <v>0.34355200000000002</v>
      </c>
      <c r="E9" s="2"/>
      <c r="F9" s="2"/>
      <c r="G9" s="2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4F18A-2553-4FBF-8AA3-98D3E31206C4}">
  <dimension ref="A1:C61"/>
  <sheetViews>
    <sheetView workbookViewId="0">
      <selection activeCell="A53" sqref="A53"/>
    </sheetView>
  </sheetViews>
  <sheetFormatPr defaultRowHeight="14.4" x14ac:dyDescent="0.3"/>
  <cols>
    <col min="1" max="1" width="21" bestFit="1" customWidth="1"/>
    <col min="2" max="3" width="12" bestFit="1" customWidth="1"/>
  </cols>
  <sheetData>
    <row r="1" spans="1:3" x14ac:dyDescent="0.3">
      <c r="A1" s="1" t="s">
        <v>47</v>
      </c>
      <c r="B1" s="1" t="s">
        <v>130</v>
      </c>
      <c r="C1" s="1" t="s">
        <v>122</v>
      </c>
    </row>
    <row r="2" spans="1:3" x14ac:dyDescent="0.3">
      <c r="A2" t="s">
        <v>48</v>
      </c>
      <c r="B2">
        <v>1.2123893809999999</v>
      </c>
      <c r="C2">
        <v>3.3578277330000001</v>
      </c>
    </row>
    <row r="3" spans="1:3" x14ac:dyDescent="0.3">
      <c r="A3" t="s">
        <v>49</v>
      </c>
      <c r="B3">
        <v>0.94368463400000002</v>
      </c>
      <c r="C3">
        <v>3.2418016280000002</v>
      </c>
    </row>
    <row r="4" spans="1:3" x14ac:dyDescent="0.3">
      <c r="A4" t="s">
        <v>50</v>
      </c>
      <c r="B4">
        <v>1.5205148829999999</v>
      </c>
      <c r="C4">
        <v>3.7777777779999999</v>
      </c>
    </row>
    <row r="5" spans="1:3" x14ac:dyDescent="0.3">
      <c r="A5" t="s">
        <v>54</v>
      </c>
      <c r="B5">
        <v>0.89621882500000005</v>
      </c>
      <c r="C5">
        <v>5.312223028</v>
      </c>
    </row>
    <row r="6" spans="1:3" x14ac:dyDescent="0.3">
      <c r="A6" t="s">
        <v>55</v>
      </c>
      <c r="B6">
        <v>1.1520514879999999</v>
      </c>
      <c r="C6">
        <v>3.991459189</v>
      </c>
    </row>
    <row r="7" spans="1:3" x14ac:dyDescent="0.3">
      <c r="A7" t="s">
        <v>56</v>
      </c>
      <c r="B7">
        <v>0.83185840700000002</v>
      </c>
      <c r="C7">
        <v>3.318346628</v>
      </c>
    </row>
    <row r="8" spans="1:3" x14ac:dyDescent="0.3">
      <c r="A8" t="s">
        <v>60</v>
      </c>
      <c r="B8">
        <v>2.9975864840000002</v>
      </c>
      <c r="C8">
        <v>3.5563612920000001</v>
      </c>
    </row>
    <row r="9" spans="1:3" x14ac:dyDescent="0.3">
      <c r="A9" t="s">
        <v>61</v>
      </c>
      <c r="B9">
        <v>3.7522123889999999</v>
      </c>
      <c r="C9">
        <v>3.7552171460000001</v>
      </c>
    </row>
    <row r="10" spans="1:3" x14ac:dyDescent="0.3">
      <c r="A10" t="s">
        <v>62</v>
      </c>
      <c r="B10">
        <v>1.9292035400000001</v>
      </c>
      <c r="C10">
        <v>1.2227862380000001</v>
      </c>
    </row>
    <row r="11" spans="1:3" x14ac:dyDescent="0.3">
      <c r="A11" t="s">
        <v>66</v>
      </c>
      <c r="B11">
        <v>1.047465809</v>
      </c>
      <c r="C11">
        <v>4.7984852150000004</v>
      </c>
    </row>
    <row r="12" spans="1:3" x14ac:dyDescent="0.3">
      <c r="A12" t="s">
        <v>67</v>
      </c>
      <c r="B12">
        <v>1.397425583</v>
      </c>
      <c r="C12">
        <v>4.2286681169999998</v>
      </c>
    </row>
    <row r="13" spans="1:3" x14ac:dyDescent="0.3">
      <c r="A13" t="s">
        <v>68</v>
      </c>
      <c r="B13">
        <v>1.4119066769999999</v>
      </c>
      <c r="C13">
        <v>1.0100717109999999</v>
      </c>
    </row>
    <row r="14" spans="1:3" x14ac:dyDescent="0.3">
      <c r="A14" t="s">
        <v>72</v>
      </c>
      <c r="B14">
        <v>0.99839098999999998</v>
      </c>
      <c r="C14">
        <v>2.9768753530000001</v>
      </c>
    </row>
    <row r="15" spans="1:3" x14ac:dyDescent="0.3">
      <c r="A15" t="s">
        <v>73</v>
      </c>
      <c r="B15">
        <v>1.5824617860000001</v>
      </c>
      <c r="C15">
        <v>4.2589638220000001</v>
      </c>
    </row>
    <row r="16" spans="1:3" x14ac:dyDescent="0.3">
      <c r="A16" t="s">
        <v>74</v>
      </c>
      <c r="B16">
        <v>1.1415929199999999</v>
      </c>
      <c r="C16">
        <v>0.848763194</v>
      </c>
    </row>
    <row r="17" spans="1:3" x14ac:dyDescent="0.3">
      <c r="A17" t="s">
        <v>75</v>
      </c>
      <c r="B17">
        <v>0.91069992</v>
      </c>
      <c r="C17">
        <v>1.5002820079999999</v>
      </c>
    </row>
    <row r="18" spans="1:3" x14ac:dyDescent="0.3">
      <c r="A18" t="s">
        <v>76</v>
      </c>
      <c r="B18">
        <v>1.0860820600000001</v>
      </c>
      <c r="C18">
        <v>4.5691725080000003</v>
      </c>
    </row>
    <row r="19" spans="1:3" x14ac:dyDescent="0.3">
      <c r="A19" t="s">
        <v>77</v>
      </c>
      <c r="B19">
        <v>1.55993564</v>
      </c>
      <c r="C19">
        <v>4.3580694549999999</v>
      </c>
    </row>
    <row r="20" spans="1:3" x14ac:dyDescent="0.3">
      <c r="A20" t="s">
        <v>78</v>
      </c>
      <c r="B20">
        <v>2.242960579</v>
      </c>
      <c r="C20">
        <v>2.4856981710000001</v>
      </c>
    </row>
    <row r="21" spans="1:3" x14ac:dyDescent="0.3">
      <c r="A21" t="s">
        <v>79</v>
      </c>
      <c r="B21">
        <v>2.7079646020000001</v>
      </c>
      <c r="C21">
        <v>4.0553541209999997</v>
      </c>
    </row>
    <row r="22" spans="1:3" x14ac:dyDescent="0.3">
      <c r="A22" t="s">
        <v>80</v>
      </c>
      <c r="B22">
        <v>2.5728077229999999</v>
      </c>
      <c r="C22">
        <v>3.2434131009999998</v>
      </c>
    </row>
    <row r="23" spans="1:3" x14ac:dyDescent="0.3">
      <c r="A23" t="s">
        <v>84</v>
      </c>
      <c r="B23">
        <v>1.328238134</v>
      </c>
      <c r="C23">
        <v>5.2545322700000003</v>
      </c>
    </row>
    <row r="24" spans="1:3" x14ac:dyDescent="0.3">
      <c r="A24" t="s">
        <v>85</v>
      </c>
      <c r="B24">
        <v>2.1946902650000002</v>
      </c>
      <c r="C24">
        <v>3.6590121670000002</v>
      </c>
    </row>
    <row r="25" spans="1:3" x14ac:dyDescent="0.3">
      <c r="A25" t="s">
        <v>86</v>
      </c>
      <c r="B25">
        <v>2.6709573610000001</v>
      </c>
      <c r="C25">
        <v>1.9057287890000001</v>
      </c>
    </row>
    <row r="26" spans="1:3" x14ac:dyDescent="0.3">
      <c r="A26" t="s">
        <v>87</v>
      </c>
      <c r="B26">
        <v>1.1576830250000001</v>
      </c>
      <c r="C26">
        <v>2.8846990570000002</v>
      </c>
    </row>
    <row r="27" spans="1:3" x14ac:dyDescent="0.3">
      <c r="A27" t="s">
        <v>88</v>
      </c>
      <c r="B27">
        <v>1.0555108609999999</v>
      </c>
      <c r="C27">
        <v>2.4686165500000001</v>
      </c>
    </row>
    <row r="28" spans="1:3" x14ac:dyDescent="0.3">
      <c r="A28" t="s">
        <v>89</v>
      </c>
      <c r="B28">
        <v>1.0120675779999999</v>
      </c>
      <c r="C28">
        <v>3.092579164</v>
      </c>
    </row>
    <row r="29" spans="1:3" x14ac:dyDescent="0.3">
      <c r="A29" t="s">
        <v>90</v>
      </c>
      <c r="B29">
        <v>1.08769107</v>
      </c>
      <c r="C29">
        <v>3.793892515</v>
      </c>
    </row>
    <row r="30" spans="1:3" x14ac:dyDescent="0.3">
      <c r="A30" t="s">
        <v>91</v>
      </c>
      <c r="B30">
        <v>1.2421560739999999</v>
      </c>
      <c r="C30">
        <v>1.493513818</v>
      </c>
    </row>
    <row r="31" spans="1:3" x14ac:dyDescent="0.3">
      <c r="A31" t="s">
        <v>92</v>
      </c>
      <c r="B31">
        <v>1.1786001610000001</v>
      </c>
      <c r="C31">
        <v>3.9540730000000002</v>
      </c>
    </row>
    <row r="32" spans="1:3" x14ac:dyDescent="0.3">
      <c r="A32" t="s">
        <v>81</v>
      </c>
      <c r="B32">
        <v>1.347546259</v>
      </c>
      <c r="C32">
        <v>1.372653291</v>
      </c>
    </row>
    <row r="33" spans="1:3" x14ac:dyDescent="0.3">
      <c r="A33" t="s">
        <v>82</v>
      </c>
      <c r="B33">
        <v>1.0973451329999999</v>
      </c>
      <c r="C33">
        <v>2.848602047</v>
      </c>
    </row>
    <row r="34" spans="1:3" x14ac:dyDescent="0.3">
      <c r="A34" t="s">
        <v>83</v>
      </c>
      <c r="B34">
        <v>2.3378921959999999</v>
      </c>
      <c r="C34">
        <v>3.0015309000000001</v>
      </c>
    </row>
    <row r="35" spans="1:3" x14ac:dyDescent="0.3">
      <c r="A35" t="s">
        <v>93</v>
      </c>
      <c r="B35">
        <v>0.97103781199999994</v>
      </c>
      <c r="C35">
        <v>3.025541858</v>
      </c>
    </row>
    <row r="36" spans="1:3" x14ac:dyDescent="0.3">
      <c r="A36" t="s">
        <v>94</v>
      </c>
      <c r="B36">
        <v>0.921158488</v>
      </c>
      <c r="C36">
        <v>2.688905004</v>
      </c>
    </row>
    <row r="37" spans="1:3" x14ac:dyDescent="0.3">
      <c r="A37" t="s">
        <v>95</v>
      </c>
      <c r="B37">
        <v>2.6878519710000002</v>
      </c>
      <c r="C37">
        <v>5.8037225039999996</v>
      </c>
    </row>
    <row r="38" spans="1:3" x14ac:dyDescent="0.3">
      <c r="A38" t="s">
        <v>96</v>
      </c>
      <c r="B38">
        <v>1.1166532579999999</v>
      </c>
      <c r="C38">
        <v>2.4566916449999998</v>
      </c>
    </row>
    <row r="39" spans="1:3" x14ac:dyDescent="0.3">
      <c r="A39" t="s">
        <v>97</v>
      </c>
      <c r="B39">
        <v>1.058728882</v>
      </c>
      <c r="C39">
        <v>3.5616791559999998</v>
      </c>
    </row>
    <row r="40" spans="1:3" x14ac:dyDescent="0.3">
      <c r="A40" t="s">
        <v>98</v>
      </c>
      <c r="B40">
        <v>0.93000804500000001</v>
      </c>
      <c r="C40">
        <v>3.0717911529999999</v>
      </c>
    </row>
    <row r="41" spans="1:3" x14ac:dyDescent="0.3">
      <c r="A41" t="s">
        <v>99</v>
      </c>
      <c r="B41">
        <v>1.102172164</v>
      </c>
      <c r="C41">
        <v>3.1016034160000001</v>
      </c>
    </row>
    <row r="42" spans="1:3" x14ac:dyDescent="0.3">
      <c r="A42" t="s">
        <v>100</v>
      </c>
      <c r="B42">
        <v>1.238938053</v>
      </c>
      <c r="C42">
        <v>5.056159858</v>
      </c>
    </row>
    <row r="43" spans="1:3" x14ac:dyDescent="0.3">
      <c r="A43" t="s">
        <v>101</v>
      </c>
      <c r="B43">
        <v>1.2139983910000001</v>
      </c>
      <c r="C43">
        <v>5.8826847149999999</v>
      </c>
    </row>
    <row r="44" spans="1:3" x14ac:dyDescent="0.3">
      <c r="A44" t="s">
        <v>102</v>
      </c>
      <c r="B44">
        <v>2.372485921</v>
      </c>
      <c r="C44">
        <v>2.9846104260000001</v>
      </c>
    </row>
    <row r="45" spans="1:3" x14ac:dyDescent="0.3">
      <c r="A45" t="s">
        <v>103</v>
      </c>
      <c r="B45">
        <v>0.919549477</v>
      </c>
      <c r="C45">
        <v>1.1760535009999999</v>
      </c>
    </row>
    <row r="46" spans="1:3" x14ac:dyDescent="0.3">
      <c r="A46" t="s">
        <v>104</v>
      </c>
      <c r="B46">
        <v>1.048270314</v>
      </c>
      <c r="C46">
        <v>2.2868423170000001</v>
      </c>
    </row>
    <row r="47" spans="1:3" x14ac:dyDescent="0.3">
      <c r="A47" t="s">
        <v>105</v>
      </c>
      <c r="B47">
        <v>1.056315366</v>
      </c>
      <c r="C47">
        <v>3.2382563850000001</v>
      </c>
    </row>
    <row r="48" spans="1:3" x14ac:dyDescent="0.3">
      <c r="A48" t="s">
        <v>106</v>
      </c>
      <c r="B48">
        <v>1.415929204</v>
      </c>
      <c r="C48">
        <v>2.8436064779999999</v>
      </c>
    </row>
    <row r="49" spans="1:3" x14ac:dyDescent="0.3">
      <c r="A49" t="s">
        <v>107</v>
      </c>
      <c r="B49">
        <v>1.240547064</v>
      </c>
      <c r="C49">
        <v>4.7920393199999998</v>
      </c>
    </row>
    <row r="50" spans="1:3" x14ac:dyDescent="0.3">
      <c r="A50" t="s">
        <v>108</v>
      </c>
      <c r="B50">
        <v>1.274336283</v>
      </c>
      <c r="C50">
        <v>2.0866972850000001</v>
      </c>
    </row>
    <row r="51" spans="1:3" x14ac:dyDescent="0.3">
      <c r="A51" t="s">
        <v>109</v>
      </c>
      <c r="B51">
        <v>1.5470635559999999</v>
      </c>
      <c r="C51">
        <v>2.5741680769999999</v>
      </c>
    </row>
    <row r="52" spans="1:3" x14ac:dyDescent="0.3">
      <c r="A52" t="s">
        <v>110</v>
      </c>
      <c r="B52">
        <v>2.9364440869999999</v>
      </c>
      <c r="C52">
        <v>4.8231407620000004</v>
      </c>
    </row>
    <row r="53" spans="1:3" x14ac:dyDescent="0.3">
      <c r="A53" t="s">
        <v>111</v>
      </c>
      <c r="B53">
        <v>1.535800483</v>
      </c>
      <c r="C53">
        <v>3.0456852790000002</v>
      </c>
    </row>
    <row r="54" spans="1:3" x14ac:dyDescent="0.3">
      <c r="A54" t="s">
        <v>112</v>
      </c>
      <c r="B54">
        <v>1.970233307</v>
      </c>
      <c r="C54">
        <v>3.1399564899999999</v>
      </c>
    </row>
    <row r="55" spans="1:3" x14ac:dyDescent="0.3">
      <c r="A55" t="s">
        <v>113</v>
      </c>
      <c r="B55">
        <v>2.1182622690000001</v>
      </c>
      <c r="C55">
        <v>2.8202401099999999</v>
      </c>
    </row>
    <row r="56" spans="1:3" x14ac:dyDescent="0.3">
      <c r="A56" t="s">
        <v>123</v>
      </c>
      <c r="B56">
        <v>0.82622686999999995</v>
      </c>
      <c r="C56">
        <v>1.1443074689999999</v>
      </c>
    </row>
    <row r="57" spans="1:3" x14ac:dyDescent="0.3">
      <c r="A57" t="s">
        <v>124</v>
      </c>
      <c r="B57">
        <v>0.96540627499999998</v>
      </c>
      <c r="C57">
        <v>1.4783659659999999</v>
      </c>
    </row>
    <row r="58" spans="1:3" x14ac:dyDescent="0.3">
      <c r="A58" t="s">
        <v>124</v>
      </c>
      <c r="B58">
        <v>1.2518101370000001</v>
      </c>
      <c r="C58">
        <v>2.408347434</v>
      </c>
    </row>
    <row r="59" spans="1:3" x14ac:dyDescent="0.3">
      <c r="A59" t="s">
        <v>125</v>
      </c>
      <c r="B59">
        <v>1.2670957359999999</v>
      </c>
      <c r="C59">
        <v>2.0454435580000001</v>
      </c>
    </row>
    <row r="60" spans="1:3" x14ac:dyDescent="0.3">
      <c r="A60" t="s">
        <v>126</v>
      </c>
      <c r="B60">
        <v>0.89300080500000001</v>
      </c>
      <c r="C60">
        <v>1.8477157360000001</v>
      </c>
    </row>
    <row r="61" spans="1:3" x14ac:dyDescent="0.3">
      <c r="A61" t="s">
        <v>127</v>
      </c>
      <c r="B61">
        <v>0.95897023299999995</v>
      </c>
      <c r="C61">
        <v>3.2285875430000002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39ADB-05F8-4320-A6E0-6B54F08588B6}">
  <dimension ref="A1:U36"/>
  <sheetViews>
    <sheetView workbookViewId="0">
      <selection activeCell="V7" sqref="V7"/>
    </sheetView>
  </sheetViews>
  <sheetFormatPr defaultRowHeight="14.4" x14ac:dyDescent="0.3"/>
  <cols>
    <col min="1" max="1" width="8.77734375" bestFit="1" customWidth="1"/>
    <col min="2" max="2" width="3" bestFit="1" customWidth="1"/>
    <col min="3" max="4" width="3" customWidth="1"/>
    <col min="5" max="7" width="2" bestFit="1" customWidth="1"/>
    <col min="8" max="8" width="8.77734375" bestFit="1" customWidth="1"/>
    <col min="9" max="9" width="4" bestFit="1" customWidth="1"/>
    <col min="10" max="11" width="3" customWidth="1"/>
    <col min="12" max="14" width="4" bestFit="1" customWidth="1"/>
    <col min="15" max="15" width="8.77734375" bestFit="1" customWidth="1"/>
    <col min="16" max="19" width="2" bestFit="1" customWidth="1"/>
    <col min="20" max="20" width="4" bestFit="1" customWidth="1"/>
    <col min="21" max="21" width="2" bestFit="1" customWidth="1"/>
    <col min="22" max="22" width="8.77734375" bestFit="1" customWidth="1"/>
    <col min="23" max="28" width="2" bestFit="1" customWidth="1"/>
    <col min="29" max="29" width="8.77734375" bestFit="1" customWidth="1"/>
    <col min="30" max="35" width="2" bestFit="1" customWidth="1"/>
    <col min="36" max="36" width="8.77734375" bestFit="1" customWidth="1"/>
    <col min="37" max="42" width="2" bestFit="1" customWidth="1"/>
    <col min="43" max="43" width="8.77734375" bestFit="1" customWidth="1"/>
    <col min="44" max="49" width="2" bestFit="1" customWidth="1"/>
    <col min="50" max="50" width="8.77734375" bestFit="1" customWidth="1"/>
    <col min="51" max="51" width="4" bestFit="1" customWidth="1"/>
    <col min="52" max="53" width="2" bestFit="1" customWidth="1"/>
    <col min="54" max="56" width="4" bestFit="1" customWidth="1"/>
  </cols>
  <sheetData>
    <row r="1" spans="1:21" x14ac:dyDescent="0.3">
      <c r="A1" s="4"/>
      <c r="B1" s="16" t="s">
        <v>117</v>
      </c>
      <c r="C1" s="16"/>
      <c r="D1" s="16"/>
      <c r="E1" s="16"/>
      <c r="F1" s="16"/>
      <c r="G1" s="16"/>
      <c r="H1" s="4"/>
      <c r="I1" s="16" t="s">
        <v>118</v>
      </c>
      <c r="J1" s="16"/>
      <c r="K1" s="16"/>
      <c r="L1" s="16"/>
      <c r="M1" s="16"/>
      <c r="N1" s="17"/>
      <c r="O1" s="4"/>
      <c r="P1" s="16" t="s">
        <v>145</v>
      </c>
      <c r="Q1" s="16"/>
      <c r="R1" s="16"/>
      <c r="S1" s="16"/>
      <c r="T1" s="16"/>
      <c r="U1" s="17"/>
    </row>
    <row r="2" spans="1:21" x14ac:dyDescent="0.3">
      <c r="A2" s="5" t="s">
        <v>142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5" t="s">
        <v>142</v>
      </c>
      <c r="I2" s="1">
        <v>1</v>
      </c>
      <c r="J2" s="1">
        <v>2</v>
      </c>
      <c r="K2" s="1">
        <v>3</v>
      </c>
      <c r="L2" s="1">
        <v>4</v>
      </c>
      <c r="M2" s="1">
        <v>5</v>
      </c>
      <c r="N2" s="6">
        <v>6</v>
      </c>
      <c r="O2" s="5" t="s">
        <v>142</v>
      </c>
      <c r="P2" s="1">
        <v>1</v>
      </c>
      <c r="Q2" s="1">
        <v>2</v>
      </c>
      <c r="R2" s="1">
        <v>3</v>
      </c>
      <c r="S2" s="1">
        <v>4</v>
      </c>
      <c r="T2" s="1">
        <v>5</v>
      </c>
      <c r="U2" s="6">
        <v>6</v>
      </c>
    </row>
    <row r="3" spans="1:21" x14ac:dyDescent="0.3">
      <c r="A3" s="10" t="s">
        <v>137</v>
      </c>
      <c r="B3" s="11"/>
      <c r="C3" s="11">
        <v>32</v>
      </c>
      <c r="D3" s="11"/>
      <c r="E3" s="11"/>
      <c r="F3" s="11"/>
      <c r="G3" s="11"/>
      <c r="H3" s="10" t="s">
        <v>137</v>
      </c>
      <c r="I3" s="11"/>
      <c r="J3" s="11"/>
      <c r="K3" s="11"/>
      <c r="L3" s="11"/>
      <c r="M3" s="11"/>
      <c r="N3" s="12"/>
      <c r="O3" s="10" t="s">
        <v>137</v>
      </c>
      <c r="P3" s="11"/>
      <c r="Q3" s="11"/>
      <c r="R3" s="11">
        <v>8</v>
      </c>
      <c r="S3" s="11"/>
      <c r="T3" s="11"/>
      <c r="U3" s="12"/>
    </row>
    <row r="4" spans="1:21" x14ac:dyDescent="0.3">
      <c r="A4" s="10" t="s">
        <v>138</v>
      </c>
      <c r="B4" s="11">
        <v>64</v>
      </c>
      <c r="C4" s="11"/>
      <c r="D4" s="11">
        <v>32</v>
      </c>
      <c r="E4" s="11">
        <v>2</v>
      </c>
      <c r="F4" s="11">
        <v>2</v>
      </c>
      <c r="G4" s="11">
        <v>4</v>
      </c>
      <c r="H4" s="10" t="s">
        <v>138</v>
      </c>
      <c r="I4" s="11"/>
      <c r="J4" s="11"/>
      <c r="K4" s="11"/>
      <c r="L4" s="11">
        <v>8</v>
      </c>
      <c r="M4" s="11">
        <v>8</v>
      </c>
      <c r="N4" s="12">
        <v>8</v>
      </c>
      <c r="O4" s="10" t="s">
        <v>138</v>
      </c>
      <c r="P4" s="11">
        <v>8</v>
      </c>
      <c r="Q4" s="11"/>
      <c r="R4" s="11"/>
      <c r="S4" s="11"/>
      <c r="T4" s="11">
        <v>128</v>
      </c>
      <c r="U4" s="12"/>
    </row>
    <row r="5" spans="1:21" x14ac:dyDescent="0.3">
      <c r="A5" s="10" t="s">
        <v>131</v>
      </c>
      <c r="B5" s="11">
        <v>64</v>
      </c>
      <c r="C5" s="11"/>
      <c r="D5" s="11">
        <v>32</v>
      </c>
      <c r="E5" s="11"/>
      <c r="F5" s="11"/>
      <c r="G5" s="11"/>
      <c r="H5" s="10" t="s">
        <v>143</v>
      </c>
      <c r="I5" s="11">
        <v>4</v>
      </c>
      <c r="J5" s="11"/>
      <c r="K5" s="11"/>
      <c r="L5" s="11">
        <v>8</v>
      </c>
      <c r="M5" s="11">
        <v>8</v>
      </c>
      <c r="N5" s="12"/>
      <c r="O5" s="10" t="s">
        <v>131</v>
      </c>
      <c r="P5" s="11">
        <v>8</v>
      </c>
      <c r="Q5" s="11"/>
      <c r="R5" s="11"/>
      <c r="S5" s="11"/>
      <c r="T5" s="11"/>
      <c r="U5" s="12"/>
    </row>
    <row r="6" spans="1:21" x14ac:dyDescent="0.3">
      <c r="A6" s="10" t="s">
        <v>139</v>
      </c>
      <c r="B6" s="11"/>
      <c r="C6" s="11"/>
      <c r="D6" s="11"/>
      <c r="E6" s="11"/>
      <c r="F6" s="11"/>
      <c r="G6" s="11">
        <v>4</v>
      </c>
      <c r="H6" s="10" t="s">
        <v>131</v>
      </c>
      <c r="I6" s="11">
        <v>4</v>
      </c>
      <c r="J6" s="11">
        <v>16</v>
      </c>
      <c r="K6" s="11">
        <v>16</v>
      </c>
      <c r="L6" s="11"/>
      <c r="M6" s="11"/>
      <c r="N6" s="12"/>
      <c r="O6" s="10" t="s">
        <v>139</v>
      </c>
      <c r="P6" s="11"/>
      <c r="Q6" s="11"/>
      <c r="R6" s="11"/>
      <c r="S6" s="11">
        <v>8</v>
      </c>
      <c r="T6" s="11">
        <v>128</v>
      </c>
      <c r="U6" s="12">
        <v>8</v>
      </c>
    </row>
    <row r="7" spans="1:21" x14ac:dyDescent="0.3">
      <c r="A7" s="10" t="s">
        <v>140</v>
      </c>
      <c r="B7" s="11"/>
      <c r="C7" s="11"/>
      <c r="D7" s="11">
        <v>32</v>
      </c>
      <c r="E7" s="11"/>
      <c r="F7" s="11">
        <v>2</v>
      </c>
      <c r="G7" s="11">
        <v>4</v>
      </c>
      <c r="H7" s="10" t="s">
        <v>139</v>
      </c>
      <c r="I7" s="11"/>
      <c r="J7" s="11"/>
      <c r="K7" s="11"/>
      <c r="L7" s="11">
        <v>8</v>
      </c>
      <c r="M7" s="11">
        <v>8</v>
      </c>
      <c r="N7" s="12">
        <v>8</v>
      </c>
      <c r="O7" s="10" t="s">
        <v>144</v>
      </c>
      <c r="P7" s="11"/>
      <c r="Q7" s="11">
        <v>4</v>
      </c>
      <c r="R7" s="11"/>
      <c r="S7" s="11"/>
      <c r="T7" s="11"/>
      <c r="U7" s="12"/>
    </row>
    <row r="8" spans="1:21" ht="15" thickBot="1" x14ac:dyDescent="0.35">
      <c r="A8" s="13" t="s">
        <v>141</v>
      </c>
      <c r="B8" s="14"/>
      <c r="C8" s="14"/>
      <c r="D8" s="14">
        <v>32</v>
      </c>
      <c r="E8" s="14"/>
      <c r="F8" s="14"/>
      <c r="G8" s="14"/>
      <c r="H8" s="10" t="s">
        <v>140</v>
      </c>
      <c r="I8" s="11">
        <v>4</v>
      </c>
      <c r="J8" s="11"/>
      <c r="K8" s="11"/>
      <c r="L8" s="11"/>
      <c r="M8" s="11"/>
      <c r="N8" s="12"/>
      <c r="O8" s="13" t="s">
        <v>146</v>
      </c>
      <c r="P8" s="14"/>
      <c r="Q8" s="14">
        <v>4</v>
      </c>
      <c r="R8" s="14"/>
      <c r="S8" s="14"/>
      <c r="T8" s="14"/>
      <c r="U8" s="15"/>
    </row>
    <row r="9" spans="1:21" s="1" customFormat="1" x14ac:dyDescent="0.3">
      <c r="H9" s="10" t="s">
        <v>144</v>
      </c>
      <c r="I9" s="11"/>
      <c r="J9" s="11"/>
      <c r="K9" s="11"/>
      <c r="L9" s="11"/>
      <c r="M9" s="11"/>
      <c r="N9" s="12">
        <v>8</v>
      </c>
    </row>
    <row r="10" spans="1:21" ht="15" thickBot="1" x14ac:dyDescent="0.35">
      <c r="H10" s="13" t="s">
        <v>141</v>
      </c>
      <c r="I10" s="14"/>
      <c r="J10" s="14"/>
      <c r="K10" s="14">
        <v>16</v>
      </c>
      <c r="L10" s="14">
        <v>8</v>
      </c>
      <c r="M10" s="14"/>
      <c r="N10" s="15"/>
    </row>
    <row r="11" spans="1:21" ht="15" thickBot="1" x14ac:dyDescent="0.35"/>
    <row r="12" spans="1:21" x14ac:dyDescent="0.3">
      <c r="A12" s="4"/>
      <c r="B12" s="16" t="s">
        <v>6</v>
      </c>
      <c r="C12" s="16"/>
      <c r="D12" s="16"/>
      <c r="E12" s="16"/>
      <c r="F12" s="16"/>
      <c r="G12" s="16"/>
      <c r="H12" s="4"/>
      <c r="I12" s="16" t="s">
        <v>13</v>
      </c>
      <c r="J12" s="16"/>
      <c r="K12" s="16"/>
      <c r="L12" s="16"/>
      <c r="M12" s="16"/>
      <c r="N12" s="17"/>
      <c r="O12" s="4"/>
      <c r="P12" s="16" t="s">
        <v>26</v>
      </c>
      <c r="Q12" s="16"/>
      <c r="R12" s="16"/>
      <c r="S12" s="16"/>
      <c r="T12" s="16"/>
      <c r="U12" s="17"/>
    </row>
    <row r="13" spans="1:21" x14ac:dyDescent="0.3">
      <c r="A13" s="5" t="s">
        <v>142</v>
      </c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5" t="s">
        <v>142</v>
      </c>
      <c r="I13" s="1">
        <v>1</v>
      </c>
      <c r="J13" s="1">
        <v>2</v>
      </c>
      <c r="K13" s="1">
        <v>3</v>
      </c>
      <c r="L13" s="1">
        <v>4</v>
      </c>
      <c r="M13" s="1">
        <v>5</v>
      </c>
      <c r="N13" s="6">
        <v>6</v>
      </c>
      <c r="O13" s="5" t="s">
        <v>142</v>
      </c>
      <c r="P13" s="1">
        <v>1</v>
      </c>
      <c r="Q13" s="1">
        <v>2</v>
      </c>
      <c r="R13" s="1">
        <v>3</v>
      </c>
      <c r="S13" s="1">
        <v>4</v>
      </c>
      <c r="T13" s="1">
        <v>5</v>
      </c>
      <c r="U13" s="6">
        <v>6</v>
      </c>
    </row>
    <row r="14" spans="1:21" x14ac:dyDescent="0.3">
      <c r="A14" s="10" t="s">
        <v>137</v>
      </c>
      <c r="B14" s="11"/>
      <c r="C14" s="11"/>
      <c r="D14" s="11"/>
      <c r="E14" s="11"/>
      <c r="F14" s="11"/>
      <c r="G14" s="11"/>
      <c r="H14" s="10" t="s">
        <v>137</v>
      </c>
      <c r="I14" s="11"/>
      <c r="J14" s="11"/>
      <c r="K14" s="11"/>
      <c r="L14" s="11"/>
      <c r="M14" s="11"/>
      <c r="N14" s="12"/>
      <c r="O14" s="10" t="s">
        <v>137</v>
      </c>
      <c r="P14" s="11"/>
      <c r="Q14" s="11"/>
      <c r="R14" s="11"/>
      <c r="S14" s="11"/>
      <c r="T14" s="11"/>
      <c r="U14" s="12"/>
    </row>
    <row r="15" spans="1:21" x14ac:dyDescent="0.3">
      <c r="A15" s="10" t="s">
        <v>143</v>
      </c>
      <c r="B15" s="11">
        <v>4</v>
      </c>
      <c r="C15" s="11">
        <v>4</v>
      </c>
      <c r="D15" s="11">
        <v>4</v>
      </c>
      <c r="E15" s="11">
        <v>4</v>
      </c>
      <c r="F15" s="11">
        <v>8</v>
      </c>
      <c r="G15" s="11">
        <v>2</v>
      </c>
      <c r="H15" s="10" t="s">
        <v>138</v>
      </c>
      <c r="I15" s="11">
        <v>4</v>
      </c>
      <c r="J15" s="11">
        <v>8</v>
      </c>
      <c r="K15" s="11"/>
      <c r="L15" s="11">
        <v>4</v>
      </c>
      <c r="M15" s="11"/>
      <c r="N15" s="12">
        <v>8</v>
      </c>
      <c r="O15" s="10" t="s">
        <v>138</v>
      </c>
      <c r="P15" s="11">
        <v>2</v>
      </c>
      <c r="Q15" s="11">
        <v>2</v>
      </c>
      <c r="R15" s="11">
        <v>2</v>
      </c>
      <c r="S15" s="11"/>
      <c r="T15" s="11">
        <v>1</v>
      </c>
      <c r="U15" s="12">
        <v>1</v>
      </c>
    </row>
    <row r="16" spans="1:21" x14ac:dyDescent="0.3">
      <c r="A16" s="10" t="s">
        <v>131</v>
      </c>
      <c r="B16" s="11">
        <v>4</v>
      </c>
      <c r="C16" s="11">
        <v>4</v>
      </c>
      <c r="D16" s="11">
        <v>4</v>
      </c>
      <c r="E16" s="11"/>
      <c r="F16" s="11"/>
      <c r="G16" s="11"/>
      <c r="H16" s="10" t="s">
        <v>143</v>
      </c>
      <c r="I16" s="11">
        <v>4</v>
      </c>
      <c r="J16" s="11">
        <v>8</v>
      </c>
      <c r="K16" s="11">
        <v>4</v>
      </c>
      <c r="L16" s="11">
        <v>4</v>
      </c>
      <c r="M16" s="11">
        <v>4</v>
      </c>
      <c r="N16" s="12">
        <v>8</v>
      </c>
      <c r="O16" s="10" t="s">
        <v>143</v>
      </c>
      <c r="P16" s="11"/>
      <c r="Q16" s="11">
        <v>2</v>
      </c>
      <c r="R16" s="11">
        <v>2</v>
      </c>
      <c r="S16" s="11"/>
      <c r="T16" s="11">
        <v>1</v>
      </c>
      <c r="U16" s="12">
        <v>1</v>
      </c>
    </row>
    <row r="17" spans="1:21" x14ac:dyDescent="0.3">
      <c r="A17" s="10" t="s">
        <v>139</v>
      </c>
      <c r="B17" s="11"/>
      <c r="C17" s="11"/>
      <c r="D17" s="11"/>
      <c r="E17" s="11">
        <v>4</v>
      </c>
      <c r="F17" s="11">
        <v>8</v>
      </c>
      <c r="G17" s="11">
        <v>2</v>
      </c>
      <c r="H17" s="10" t="s">
        <v>131</v>
      </c>
      <c r="I17" s="11">
        <v>4</v>
      </c>
      <c r="J17" s="11">
        <v>8</v>
      </c>
      <c r="K17" s="11">
        <v>4</v>
      </c>
      <c r="L17" s="11"/>
      <c r="M17" s="11"/>
      <c r="N17" s="12"/>
      <c r="O17" s="10" t="s">
        <v>131</v>
      </c>
      <c r="P17" s="11">
        <v>2</v>
      </c>
      <c r="Q17" s="11">
        <v>2</v>
      </c>
      <c r="R17" s="11">
        <v>2</v>
      </c>
      <c r="S17" s="11"/>
      <c r="T17" s="11"/>
      <c r="U17" s="12"/>
    </row>
    <row r="18" spans="1:21" ht="15" thickBot="1" x14ac:dyDescent="0.35">
      <c r="A18" s="13" t="s">
        <v>144</v>
      </c>
      <c r="B18" s="14"/>
      <c r="C18" s="14"/>
      <c r="D18" s="14"/>
      <c r="E18" s="14">
        <v>4</v>
      </c>
      <c r="F18" s="14"/>
      <c r="G18" s="14"/>
      <c r="H18" s="10" t="s">
        <v>139</v>
      </c>
      <c r="I18" s="11"/>
      <c r="J18" s="11"/>
      <c r="K18" s="11"/>
      <c r="L18" s="11">
        <v>4</v>
      </c>
      <c r="M18" s="11">
        <v>4</v>
      </c>
      <c r="N18" s="12">
        <v>8</v>
      </c>
      <c r="O18" s="10" t="s">
        <v>139</v>
      </c>
      <c r="P18" s="11"/>
      <c r="Q18" s="11"/>
      <c r="R18" s="11"/>
      <c r="S18" s="11"/>
      <c r="T18" s="11">
        <v>1</v>
      </c>
      <c r="U18" s="12"/>
    </row>
    <row r="19" spans="1:21" s="1" customFormat="1" x14ac:dyDescent="0.3">
      <c r="A19"/>
      <c r="B19"/>
      <c r="C19"/>
      <c r="D19"/>
      <c r="E19"/>
      <c r="F19"/>
      <c r="G19"/>
      <c r="H19" s="10" t="s">
        <v>140</v>
      </c>
      <c r="I19" s="11"/>
      <c r="J19" s="11"/>
      <c r="K19" s="11"/>
      <c r="L19" s="11">
        <v>4</v>
      </c>
      <c r="M19" s="11">
        <v>4</v>
      </c>
      <c r="N19" s="12">
        <v>8</v>
      </c>
      <c r="O19" s="10" t="s">
        <v>140</v>
      </c>
      <c r="P19" s="11"/>
      <c r="Q19" s="11"/>
      <c r="R19" s="11"/>
      <c r="S19" s="11"/>
      <c r="T19" s="11">
        <v>1</v>
      </c>
      <c r="U19" s="12"/>
    </row>
    <row r="20" spans="1:21" x14ac:dyDescent="0.3">
      <c r="A20" s="1"/>
      <c r="B20" s="1"/>
      <c r="C20" s="1"/>
      <c r="D20" s="1"/>
      <c r="E20" s="1"/>
      <c r="F20" s="1"/>
      <c r="G20" s="1"/>
      <c r="H20" s="10" t="s">
        <v>147</v>
      </c>
      <c r="I20" s="11"/>
      <c r="J20" s="11">
        <v>8</v>
      </c>
      <c r="K20" s="11"/>
      <c r="L20" s="11"/>
      <c r="M20" s="11"/>
      <c r="N20" s="12"/>
      <c r="O20" s="10" t="s">
        <v>147</v>
      </c>
      <c r="P20" s="11"/>
      <c r="Q20" s="11"/>
      <c r="R20" s="11"/>
      <c r="S20" s="11">
        <v>2</v>
      </c>
      <c r="T20" s="11"/>
      <c r="U20" s="12"/>
    </row>
    <row r="21" spans="1:21" x14ac:dyDescent="0.3">
      <c r="H21" s="10" t="s">
        <v>148</v>
      </c>
      <c r="I21" s="11"/>
      <c r="J21" s="11"/>
      <c r="K21" s="11">
        <v>4</v>
      </c>
      <c r="L21" s="11">
        <v>4</v>
      </c>
      <c r="M21" s="11"/>
      <c r="N21" s="12"/>
      <c r="O21" s="10" t="s">
        <v>141</v>
      </c>
      <c r="P21" s="11"/>
      <c r="Q21" s="11"/>
      <c r="R21" s="11"/>
      <c r="S21" s="11">
        <v>2</v>
      </c>
      <c r="T21" s="11"/>
      <c r="U21" s="12"/>
    </row>
    <row r="22" spans="1:21" x14ac:dyDescent="0.3">
      <c r="H22" s="10" t="s">
        <v>146</v>
      </c>
      <c r="I22" s="11"/>
      <c r="J22" s="11"/>
      <c r="K22" s="11"/>
      <c r="L22" s="11"/>
      <c r="M22" s="11">
        <v>4</v>
      </c>
      <c r="N22" s="12"/>
      <c r="O22" s="10" t="s">
        <v>150</v>
      </c>
      <c r="P22" s="11"/>
      <c r="Q22" s="11"/>
      <c r="R22" s="11"/>
      <c r="S22" s="11">
        <v>2</v>
      </c>
      <c r="T22" s="11"/>
      <c r="U22" s="12"/>
    </row>
    <row r="23" spans="1:21" ht="15" thickBot="1" x14ac:dyDescent="0.35">
      <c r="H23" s="13" t="s">
        <v>149</v>
      </c>
      <c r="I23" s="14"/>
      <c r="J23" s="14"/>
      <c r="K23" s="14"/>
      <c r="L23" s="14"/>
      <c r="M23" s="14"/>
      <c r="N23" s="15">
        <v>8</v>
      </c>
      <c r="O23" s="13" t="s">
        <v>151</v>
      </c>
      <c r="P23" s="14"/>
      <c r="Q23" s="14"/>
      <c r="R23" s="14">
        <v>2</v>
      </c>
      <c r="S23" s="14"/>
      <c r="T23" s="14"/>
      <c r="U23" s="15"/>
    </row>
    <row r="24" spans="1:21" ht="15" thickBot="1" x14ac:dyDescent="0.35"/>
    <row r="25" spans="1:21" x14ac:dyDescent="0.3">
      <c r="A25" s="4"/>
      <c r="B25" s="16" t="s">
        <v>121</v>
      </c>
      <c r="C25" s="16"/>
      <c r="D25" s="16"/>
      <c r="E25" s="16"/>
      <c r="F25" s="16"/>
      <c r="G25" s="17"/>
      <c r="H25" s="4"/>
      <c r="I25" s="16" t="s">
        <v>39</v>
      </c>
      <c r="J25" s="16"/>
      <c r="K25" s="16"/>
      <c r="L25" s="16"/>
      <c r="M25" s="16"/>
      <c r="N25" s="17"/>
    </row>
    <row r="26" spans="1:21" x14ac:dyDescent="0.3">
      <c r="A26" s="5" t="s">
        <v>142</v>
      </c>
      <c r="B26" s="1">
        <v>1</v>
      </c>
      <c r="C26" s="1">
        <v>2</v>
      </c>
      <c r="D26" s="1">
        <v>3</v>
      </c>
      <c r="E26" s="1">
        <v>4</v>
      </c>
      <c r="F26" s="1">
        <v>5</v>
      </c>
      <c r="G26" s="6">
        <v>6</v>
      </c>
      <c r="H26" s="5" t="s">
        <v>142</v>
      </c>
      <c r="I26" s="1">
        <v>1</v>
      </c>
      <c r="J26" s="1">
        <v>2</v>
      </c>
      <c r="K26" s="1">
        <v>3</v>
      </c>
      <c r="L26" s="1">
        <v>4</v>
      </c>
      <c r="M26" s="1">
        <v>5</v>
      </c>
      <c r="N26" s="6">
        <v>6</v>
      </c>
    </row>
    <row r="27" spans="1:21" s="1" customFormat="1" x14ac:dyDescent="0.3">
      <c r="A27" s="10" t="s">
        <v>137</v>
      </c>
      <c r="B27" s="11"/>
      <c r="C27" s="11"/>
      <c r="D27" s="11"/>
      <c r="E27" s="11"/>
      <c r="F27" s="11"/>
      <c r="G27" s="12"/>
      <c r="H27" s="10" t="s">
        <v>137</v>
      </c>
      <c r="I27" s="11"/>
      <c r="J27" s="11"/>
      <c r="K27" s="11"/>
      <c r="L27" s="11"/>
      <c r="M27" s="11"/>
      <c r="N27" s="12"/>
      <c r="O27"/>
      <c r="P27"/>
      <c r="Q27"/>
      <c r="R27"/>
      <c r="S27"/>
      <c r="T27"/>
      <c r="U27"/>
    </row>
    <row r="28" spans="1:21" x14ac:dyDescent="0.3">
      <c r="A28" s="10" t="s">
        <v>138</v>
      </c>
      <c r="B28" s="11"/>
      <c r="C28" s="11">
        <v>2</v>
      </c>
      <c r="D28" s="11">
        <v>4</v>
      </c>
      <c r="E28" s="11">
        <v>2</v>
      </c>
      <c r="F28" s="11">
        <v>1</v>
      </c>
      <c r="G28" s="12">
        <v>1</v>
      </c>
      <c r="H28" s="10" t="s">
        <v>143</v>
      </c>
      <c r="I28" s="11"/>
      <c r="J28" s="11">
        <v>1</v>
      </c>
      <c r="K28" s="11"/>
      <c r="L28" s="11">
        <v>0.5</v>
      </c>
      <c r="M28" s="11">
        <v>0.5</v>
      </c>
      <c r="N28" s="12">
        <v>0.5</v>
      </c>
      <c r="O28" s="1"/>
      <c r="P28" s="1"/>
      <c r="Q28" s="1"/>
      <c r="R28" s="1"/>
      <c r="S28" s="1"/>
      <c r="T28" s="1"/>
      <c r="U28" s="1"/>
    </row>
    <row r="29" spans="1:21" x14ac:dyDescent="0.3">
      <c r="A29" s="10" t="s">
        <v>143</v>
      </c>
      <c r="B29" s="11">
        <v>2</v>
      </c>
      <c r="C29" s="11">
        <v>2</v>
      </c>
      <c r="D29" s="11">
        <v>4</v>
      </c>
      <c r="E29" s="11">
        <v>2</v>
      </c>
      <c r="F29" s="11">
        <v>1</v>
      </c>
      <c r="G29" s="12">
        <v>1</v>
      </c>
      <c r="H29" s="10" t="s">
        <v>131</v>
      </c>
      <c r="I29" s="11">
        <v>0.5</v>
      </c>
      <c r="J29" s="11">
        <v>1</v>
      </c>
      <c r="K29" s="11"/>
      <c r="L29" s="11"/>
      <c r="M29" s="11"/>
      <c r="N29" s="12"/>
    </row>
    <row r="30" spans="1:21" x14ac:dyDescent="0.3">
      <c r="A30" s="10" t="s">
        <v>131</v>
      </c>
      <c r="B30" s="11">
        <v>2</v>
      </c>
      <c r="C30" s="11">
        <v>2</v>
      </c>
      <c r="D30" s="11">
        <v>4</v>
      </c>
      <c r="E30" s="11"/>
      <c r="F30" s="11"/>
      <c r="G30" s="12"/>
      <c r="H30" s="10" t="s">
        <v>139</v>
      </c>
      <c r="I30" s="11"/>
      <c r="J30" s="11"/>
      <c r="K30" s="11"/>
      <c r="L30" s="11">
        <v>0.5</v>
      </c>
      <c r="M30" s="11">
        <v>0.5</v>
      </c>
      <c r="N30" s="12">
        <v>0.5</v>
      </c>
    </row>
    <row r="31" spans="1:21" x14ac:dyDescent="0.3">
      <c r="A31" s="10" t="s">
        <v>139</v>
      </c>
      <c r="B31" s="11"/>
      <c r="C31" s="11"/>
      <c r="D31" s="11"/>
      <c r="E31" s="11">
        <v>2</v>
      </c>
      <c r="F31" s="11"/>
      <c r="G31" s="12"/>
      <c r="H31" s="10" t="s">
        <v>140</v>
      </c>
      <c r="I31" s="11"/>
      <c r="J31" s="11"/>
      <c r="K31" s="11">
        <v>1</v>
      </c>
      <c r="L31" s="11"/>
      <c r="M31" s="11">
        <v>0.5</v>
      </c>
      <c r="N31" s="12"/>
    </row>
    <row r="32" spans="1:21" x14ac:dyDescent="0.3">
      <c r="A32" s="10" t="s">
        <v>140</v>
      </c>
      <c r="B32" s="11"/>
      <c r="C32" s="11"/>
      <c r="D32" s="11"/>
      <c r="E32" s="11"/>
      <c r="F32" s="11"/>
      <c r="G32" s="12">
        <v>1</v>
      </c>
      <c r="H32" s="10" t="s">
        <v>153</v>
      </c>
      <c r="I32" s="11">
        <v>0.5</v>
      </c>
      <c r="J32" s="11"/>
      <c r="K32" s="11"/>
      <c r="L32" s="11"/>
      <c r="M32" s="11"/>
      <c r="N32" s="12"/>
    </row>
    <row r="33" spans="1:14" ht="15" thickBot="1" x14ac:dyDescent="0.35">
      <c r="A33" s="10" t="s">
        <v>147</v>
      </c>
      <c r="B33" s="11"/>
      <c r="C33" s="11"/>
      <c r="D33" s="11">
        <v>4</v>
      </c>
      <c r="E33" s="11">
        <v>2</v>
      </c>
      <c r="F33" s="11"/>
      <c r="G33" s="12"/>
      <c r="H33" s="13" t="s">
        <v>154</v>
      </c>
      <c r="I33" s="14"/>
      <c r="J33" s="14"/>
      <c r="K33" s="14"/>
      <c r="L33" s="14">
        <v>0.5</v>
      </c>
      <c r="M33" s="14"/>
      <c r="N33" s="15"/>
    </row>
    <row r="34" spans="1:14" x14ac:dyDescent="0.3">
      <c r="A34" s="10" t="s">
        <v>152</v>
      </c>
      <c r="B34" s="11"/>
      <c r="C34" s="11"/>
      <c r="D34" s="11">
        <v>4</v>
      </c>
      <c r="E34" s="11"/>
      <c r="F34" s="11"/>
      <c r="G34" s="12"/>
    </row>
    <row r="35" spans="1:14" x14ac:dyDescent="0.3">
      <c r="A35" s="10" t="s">
        <v>151</v>
      </c>
      <c r="B35" s="11">
        <v>2</v>
      </c>
      <c r="C35" s="11"/>
      <c r="D35" s="11"/>
      <c r="E35" s="11"/>
      <c r="F35" s="11"/>
      <c r="G35" s="12"/>
    </row>
    <row r="36" spans="1:14" ht="15" thickBot="1" x14ac:dyDescent="0.35">
      <c r="A36" s="7"/>
      <c r="B36" s="8"/>
      <c r="C36" s="8"/>
      <c r="D36" s="8"/>
      <c r="E36" s="8"/>
      <c r="F36" s="8"/>
      <c r="G36" s="9"/>
    </row>
  </sheetData>
  <mergeCells count="8">
    <mergeCell ref="B25:G25"/>
    <mergeCell ref="I25:N25"/>
    <mergeCell ref="B1:G1"/>
    <mergeCell ref="I1:N1"/>
    <mergeCell ref="P1:U1"/>
    <mergeCell ref="B12:G12"/>
    <mergeCell ref="I12:N12"/>
    <mergeCell ref="P12:U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2A1E5-26DA-408B-9B8A-090CAB976544}">
  <dimension ref="A1:B55"/>
  <sheetViews>
    <sheetView workbookViewId="0">
      <selection activeCell="C7" sqref="C7"/>
    </sheetView>
  </sheetViews>
  <sheetFormatPr defaultRowHeight="14.4" x14ac:dyDescent="0.3"/>
  <cols>
    <col min="1" max="1" width="21.88671875" bestFit="1" customWidth="1"/>
    <col min="2" max="2" width="15.44140625" bestFit="1" customWidth="1"/>
  </cols>
  <sheetData>
    <row r="1" spans="1:2" x14ac:dyDescent="0.3">
      <c r="A1" s="1" t="s">
        <v>47</v>
      </c>
      <c r="B1" s="1" t="s">
        <v>46</v>
      </c>
    </row>
    <row r="2" spans="1:2" x14ac:dyDescent="0.3">
      <c r="A2" t="s">
        <v>51</v>
      </c>
      <c r="B2">
        <v>2</v>
      </c>
    </row>
    <row r="3" spans="1:2" x14ac:dyDescent="0.3">
      <c r="A3" t="s">
        <v>52</v>
      </c>
      <c r="B3">
        <v>2</v>
      </c>
    </row>
    <row r="4" spans="1:2" x14ac:dyDescent="0.3">
      <c r="A4" t="s">
        <v>53</v>
      </c>
      <c r="B4">
        <v>1</v>
      </c>
    </row>
    <row r="5" spans="1:2" x14ac:dyDescent="0.3">
      <c r="A5" t="s">
        <v>57</v>
      </c>
      <c r="B5">
        <v>0.5</v>
      </c>
    </row>
    <row r="6" spans="1:2" x14ac:dyDescent="0.3">
      <c r="A6" t="s">
        <v>58</v>
      </c>
      <c r="B6">
        <v>0.5</v>
      </c>
    </row>
    <row r="7" spans="1:2" x14ac:dyDescent="0.3">
      <c r="A7" t="s">
        <v>59</v>
      </c>
      <c r="B7">
        <v>1</v>
      </c>
    </row>
    <row r="8" spans="1:2" x14ac:dyDescent="0.3">
      <c r="A8" t="s">
        <v>63</v>
      </c>
      <c r="B8">
        <v>1</v>
      </c>
    </row>
    <row r="9" spans="1:2" x14ac:dyDescent="0.3">
      <c r="A9" t="s">
        <v>64</v>
      </c>
      <c r="B9">
        <v>1</v>
      </c>
    </row>
    <row r="10" spans="1:2" x14ac:dyDescent="0.3">
      <c r="A10" t="s">
        <v>65</v>
      </c>
      <c r="B10">
        <v>1</v>
      </c>
    </row>
    <row r="11" spans="1:2" x14ac:dyDescent="0.3">
      <c r="A11" t="s">
        <v>69</v>
      </c>
      <c r="B11">
        <v>1</v>
      </c>
    </row>
    <row r="12" spans="1:2" x14ac:dyDescent="0.3">
      <c r="A12" t="s">
        <v>70</v>
      </c>
      <c r="B12">
        <v>2</v>
      </c>
    </row>
    <row r="13" spans="1:2" x14ac:dyDescent="0.3">
      <c r="A13" t="s">
        <v>71</v>
      </c>
      <c r="B13">
        <v>1</v>
      </c>
    </row>
    <row r="14" spans="1:2" x14ac:dyDescent="0.3">
      <c r="A14" t="s">
        <v>0</v>
      </c>
      <c r="B14">
        <v>4</v>
      </c>
    </row>
    <row r="15" spans="1:2" x14ac:dyDescent="0.3">
      <c r="A15" t="s">
        <v>1</v>
      </c>
      <c r="B15">
        <v>4</v>
      </c>
    </row>
    <row r="16" spans="1:2" x14ac:dyDescent="0.3">
      <c r="A16" t="s">
        <v>2</v>
      </c>
      <c r="B16">
        <v>4</v>
      </c>
    </row>
    <row r="17" spans="1:2" x14ac:dyDescent="0.3">
      <c r="A17" t="s">
        <v>3</v>
      </c>
      <c r="B17">
        <v>8</v>
      </c>
    </row>
    <row r="18" spans="1:2" x14ac:dyDescent="0.3">
      <c r="A18" t="s">
        <v>4</v>
      </c>
      <c r="B18">
        <v>8</v>
      </c>
    </row>
    <row r="19" spans="1:2" x14ac:dyDescent="0.3">
      <c r="A19" t="s">
        <v>5</v>
      </c>
      <c r="B19">
        <v>8</v>
      </c>
    </row>
    <row r="20" spans="1:2" x14ac:dyDescent="0.3">
      <c r="A20" t="s">
        <v>7</v>
      </c>
      <c r="B20">
        <v>1</v>
      </c>
    </row>
    <row r="21" spans="1:2" x14ac:dyDescent="0.3">
      <c r="A21" t="s">
        <v>8</v>
      </c>
      <c r="B21">
        <v>1</v>
      </c>
    </row>
    <row r="22" spans="1:2" x14ac:dyDescent="0.3">
      <c r="A22" t="s">
        <v>9</v>
      </c>
      <c r="B22">
        <v>1</v>
      </c>
    </row>
    <row r="23" spans="1:2" x14ac:dyDescent="0.3">
      <c r="A23" t="s">
        <v>10</v>
      </c>
      <c r="B23">
        <v>1</v>
      </c>
    </row>
    <row r="24" spans="1:2" x14ac:dyDescent="0.3">
      <c r="A24" t="s">
        <v>11</v>
      </c>
      <c r="B24">
        <v>0.5</v>
      </c>
    </row>
    <row r="25" spans="1:2" x14ac:dyDescent="0.3">
      <c r="A25" t="s">
        <v>12</v>
      </c>
      <c r="B25">
        <v>1</v>
      </c>
    </row>
    <row r="26" spans="1:2" x14ac:dyDescent="0.3">
      <c r="A26" t="s">
        <v>14</v>
      </c>
      <c r="B26">
        <v>2</v>
      </c>
    </row>
    <row r="27" spans="1:2" x14ac:dyDescent="0.3">
      <c r="A27" t="s">
        <v>15</v>
      </c>
      <c r="B27">
        <v>2</v>
      </c>
    </row>
    <row r="28" spans="1:2" x14ac:dyDescent="0.3">
      <c r="A28" t="s">
        <v>16</v>
      </c>
      <c r="B28">
        <v>2</v>
      </c>
    </row>
    <row r="29" spans="1:2" x14ac:dyDescent="0.3">
      <c r="A29" t="s">
        <v>17</v>
      </c>
      <c r="B29">
        <v>2</v>
      </c>
    </row>
    <row r="30" spans="1:2" x14ac:dyDescent="0.3">
      <c r="A30" t="s">
        <v>18</v>
      </c>
      <c r="B30">
        <v>2</v>
      </c>
    </row>
    <row r="31" spans="1:2" x14ac:dyDescent="0.3">
      <c r="A31" t="s">
        <v>19</v>
      </c>
      <c r="B31">
        <v>2</v>
      </c>
    </row>
    <row r="32" spans="1:2" x14ac:dyDescent="0.3">
      <c r="A32" t="s">
        <v>20</v>
      </c>
      <c r="B32">
        <v>4</v>
      </c>
    </row>
    <row r="33" spans="1:2" x14ac:dyDescent="0.3">
      <c r="A33" t="s">
        <v>21</v>
      </c>
      <c r="B33">
        <v>4</v>
      </c>
    </row>
    <row r="34" spans="1:2" x14ac:dyDescent="0.3">
      <c r="A34" t="s">
        <v>22</v>
      </c>
      <c r="B34">
        <v>2</v>
      </c>
    </row>
    <row r="35" spans="1:2" x14ac:dyDescent="0.3">
      <c r="A35" t="s">
        <v>23</v>
      </c>
      <c r="B35">
        <v>2</v>
      </c>
    </row>
    <row r="36" spans="1:2" x14ac:dyDescent="0.3">
      <c r="A36" t="s">
        <v>24</v>
      </c>
      <c r="B36">
        <v>2</v>
      </c>
    </row>
    <row r="37" spans="1:2" x14ac:dyDescent="0.3">
      <c r="A37" t="s">
        <v>25</v>
      </c>
      <c r="B37">
        <v>2</v>
      </c>
    </row>
    <row r="38" spans="1:2" x14ac:dyDescent="0.3">
      <c r="A38" t="s">
        <v>27</v>
      </c>
      <c r="B38">
        <v>1</v>
      </c>
    </row>
    <row r="39" spans="1:2" x14ac:dyDescent="0.3">
      <c r="A39" t="s">
        <v>28</v>
      </c>
      <c r="B39">
        <v>1</v>
      </c>
    </row>
    <row r="40" spans="1:2" x14ac:dyDescent="0.3">
      <c r="A40" t="s">
        <v>29</v>
      </c>
      <c r="B40">
        <v>1</v>
      </c>
    </row>
    <row r="41" spans="1:2" x14ac:dyDescent="0.3">
      <c r="A41" t="s">
        <v>30</v>
      </c>
      <c r="B41">
        <v>1</v>
      </c>
    </row>
    <row r="42" spans="1:2" x14ac:dyDescent="0.3">
      <c r="A42" t="s">
        <v>31</v>
      </c>
      <c r="B42">
        <v>0.5</v>
      </c>
    </row>
    <row r="43" spans="1:2" x14ac:dyDescent="0.3">
      <c r="A43" t="s">
        <v>32</v>
      </c>
      <c r="B43">
        <v>0.5</v>
      </c>
    </row>
    <row r="44" spans="1:2" x14ac:dyDescent="0.3">
      <c r="A44" t="s">
        <v>33</v>
      </c>
      <c r="B44">
        <v>1</v>
      </c>
    </row>
    <row r="45" spans="1:2" x14ac:dyDescent="0.3">
      <c r="A45" t="s">
        <v>34</v>
      </c>
      <c r="B45">
        <v>2</v>
      </c>
    </row>
    <row r="46" spans="1:2" x14ac:dyDescent="0.3">
      <c r="A46" t="s">
        <v>35</v>
      </c>
      <c r="B46">
        <v>1</v>
      </c>
    </row>
    <row r="47" spans="1:2" x14ac:dyDescent="0.3">
      <c r="A47" t="s">
        <v>36</v>
      </c>
      <c r="B47">
        <v>0.5</v>
      </c>
    </row>
    <row r="48" spans="1:2" x14ac:dyDescent="0.3">
      <c r="A48" t="s">
        <v>37</v>
      </c>
      <c r="B48">
        <v>0.5</v>
      </c>
    </row>
    <row r="49" spans="1:2" x14ac:dyDescent="0.3">
      <c r="A49" t="s">
        <v>38</v>
      </c>
      <c r="B49">
        <v>0.5</v>
      </c>
    </row>
    <row r="50" spans="1:2" x14ac:dyDescent="0.3">
      <c r="A50" t="s">
        <v>40</v>
      </c>
      <c r="B50">
        <v>0.5</v>
      </c>
    </row>
    <row r="51" spans="1:2" x14ac:dyDescent="0.3">
      <c r="A51" t="s">
        <v>41</v>
      </c>
      <c r="B51">
        <v>0.5</v>
      </c>
    </row>
    <row r="52" spans="1:2" x14ac:dyDescent="0.3">
      <c r="A52" t="s">
        <v>42</v>
      </c>
      <c r="B52">
        <v>0.5</v>
      </c>
    </row>
    <row r="53" spans="1:2" x14ac:dyDescent="0.3">
      <c r="A53" t="s">
        <v>43</v>
      </c>
      <c r="B53">
        <v>0.25</v>
      </c>
    </row>
    <row r="54" spans="1:2" x14ac:dyDescent="0.3">
      <c r="A54" t="s">
        <v>44</v>
      </c>
      <c r="B54">
        <v>0.125</v>
      </c>
    </row>
    <row r="55" spans="1:2" x14ac:dyDescent="0.3">
      <c r="A55" t="s">
        <v>45</v>
      </c>
      <c r="B55">
        <v>0.25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A7C8D-E0AA-4573-A388-5EEAD08FA4AA}">
  <dimension ref="A1:B109"/>
  <sheetViews>
    <sheetView workbookViewId="0">
      <selection activeCell="D101" sqref="D101"/>
    </sheetView>
  </sheetViews>
  <sheetFormatPr defaultRowHeight="14.4" x14ac:dyDescent="0.3"/>
  <cols>
    <col min="1" max="1" width="21.88671875" customWidth="1"/>
    <col min="2" max="2" width="22.33203125" bestFit="1" customWidth="1"/>
  </cols>
  <sheetData>
    <row r="1" spans="1:2" x14ac:dyDescent="0.3">
      <c r="A1" s="1" t="s">
        <v>47</v>
      </c>
      <c r="B1" s="1" t="s">
        <v>128</v>
      </c>
    </row>
    <row r="2" spans="1:2" x14ac:dyDescent="0.3">
      <c r="A2" t="s">
        <v>48</v>
      </c>
      <c r="B2">
        <f>'Fig. 1 + 3'!B2*1000</f>
        <v>64000</v>
      </c>
    </row>
    <row r="3" spans="1:2" x14ac:dyDescent="0.3">
      <c r="A3" t="s">
        <v>49</v>
      </c>
      <c r="B3">
        <f>'Fig. 1 + 3'!B3*1000</f>
        <v>32000</v>
      </c>
    </row>
    <row r="4" spans="1:2" x14ac:dyDescent="0.3">
      <c r="A4" t="s">
        <v>50</v>
      </c>
      <c r="B4">
        <f>'Fig. 1 + 3'!B4*1000</f>
        <v>32000</v>
      </c>
    </row>
    <row r="5" spans="1:2" x14ac:dyDescent="0.3">
      <c r="A5" t="s">
        <v>54</v>
      </c>
      <c r="B5">
        <f>'Fig. 1 + 3'!B5*1000</f>
        <v>2000</v>
      </c>
    </row>
    <row r="6" spans="1:2" x14ac:dyDescent="0.3">
      <c r="A6" t="s">
        <v>55</v>
      </c>
      <c r="B6">
        <f>'Fig. 1 + 3'!B6*1000</f>
        <v>2000</v>
      </c>
    </row>
    <row r="7" spans="1:2" x14ac:dyDescent="0.3">
      <c r="A7" t="s">
        <v>56</v>
      </c>
      <c r="B7">
        <f>'Fig. 1 + 3'!B7*1000</f>
        <v>4000</v>
      </c>
    </row>
    <row r="8" spans="1:2" x14ac:dyDescent="0.3">
      <c r="A8" t="s">
        <v>51</v>
      </c>
      <c r="B8">
        <f>'Fig. 1 + 3'!B8*1000</f>
        <v>2000</v>
      </c>
    </row>
    <row r="9" spans="1:2" x14ac:dyDescent="0.3">
      <c r="A9" t="s">
        <v>52</v>
      </c>
      <c r="B9">
        <f>'Fig. 1 + 3'!B9*1000</f>
        <v>2000</v>
      </c>
    </row>
    <row r="10" spans="1:2" x14ac:dyDescent="0.3">
      <c r="A10" t="s">
        <v>53</v>
      </c>
      <c r="B10">
        <f>'Fig. 1 + 3'!B10*1000</f>
        <v>1000</v>
      </c>
    </row>
    <row r="11" spans="1:2" x14ac:dyDescent="0.3">
      <c r="A11" t="s">
        <v>57</v>
      </c>
      <c r="B11">
        <f>'Fig. 1 + 3'!B11*1000</f>
        <v>500</v>
      </c>
    </row>
    <row r="12" spans="1:2" x14ac:dyDescent="0.3">
      <c r="A12" t="s">
        <v>58</v>
      </c>
      <c r="B12">
        <f>'Fig. 1 + 3'!B12*1000</f>
        <v>500</v>
      </c>
    </row>
    <row r="13" spans="1:2" x14ac:dyDescent="0.3">
      <c r="A13" t="s">
        <v>59</v>
      </c>
      <c r="B13">
        <f>'Fig. 1 + 3'!B13*1000</f>
        <v>1000</v>
      </c>
    </row>
    <row r="14" spans="1:2" x14ac:dyDescent="0.3">
      <c r="A14" t="s">
        <v>60</v>
      </c>
      <c r="B14">
        <f>'Fig. 1 + 3'!B14*1000</f>
        <v>4000</v>
      </c>
    </row>
    <row r="15" spans="1:2" x14ac:dyDescent="0.3">
      <c r="A15" t="s">
        <v>61</v>
      </c>
      <c r="B15">
        <f>'Fig. 1 + 3'!B15*1000</f>
        <v>16000</v>
      </c>
    </row>
    <row r="16" spans="1:2" x14ac:dyDescent="0.3">
      <c r="A16" t="s">
        <v>62</v>
      </c>
      <c r="B16">
        <f>'Fig. 1 + 3'!B16*1000</f>
        <v>16000</v>
      </c>
    </row>
    <row r="17" spans="1:2" x14ac:dyDescent="0.3">
      <c r="A17" t="s">
        <v>66</v>
      </c>
      <c r="B17">
        <f>'Fig. 1 + 3'!B17*1000</f>
        <v>8000</v>
      </c>
    </row>
    <row r="18" spans="1:2" x14ac:dyDescent="0.3">
      <c r="A18" t="s">
        <v>67</v>
      </c>
      <c r="B18">
        <f>'Fig. 1 + 3'!B18*1000</f>
        <v>8000</v>
      </c>
    </row>
    <row r="19" spans="1:2" x14ac:dyDescent="0.3">
      <c r="A19" t="s">
        <v>68</v>
      </c>
      <c r="B19">
        <f>'Fig. 1 + 3'!B19*1000</f>
        <v>8000</v>
      </c>
    </row>
    <row r="20" spans="1:2" x14ac:dyDescent="0.3">
      <c r="A20" t="s">
        <v>63</v>
      </c>
      <c r="B20">
        <f>'Fig. 1 + 3'!B20*1000</f>
        <v>1000</v>
      </c>
    </row>
    <row r="21" spans="1:2" x14ac:dyDescent="0.3">
      <c r="A21" t="s">
        <v>64</v>
      </c>
      <c r="B21">
        <f>'Fig. 1 + 3'!B21*1000</f>
        <v>1000</v>
      </c>
    </row>
    <row r="22" spans="1:2" x14ac:dyDescent="0.3">
      <c r="A22" t="s">
        <v>65</v>
      </c>
      <c r="B22">
        <f>'Fig. 1 + 3'!B22*1000</f>
        <v>1000</v>
      </c>
    </row>
    <row r="23" spans="1:2" x14ac:dyDescent="0.3">
      <c r="A23" t="s">
        <v>69</v>
      </c>
      <c r="B23">
        <f>'Fig. 1 + 3'!B23*1000</f>
        <v>1000</v>
      </c>
    </row>
    <row r="24" spans="1:2" x14ac:dyDescent="0.3">
      <c r="A24" t="s">
        <v>70</v>
      </c>
      <c r="B24">
        <f>'Fig. 1 + 3'!B24*1000</f>
        <v>2000</v>
      </c>
    </row>
    <row r="25" spans="1:2" x14ac:dyDescent="0.3">
      <c r="A25" t="s">
        <v>71</v>
      </c>
      <c r="B25">
        <f>'Fig. 1 + 3'!B25*1000</f>
        <v>1000</v>
      </c>
    </row>
    <row r="26" spans="1:2" x14ac:dyDescent="0.3">
      <c r="A26" t="s">
        <v>72</v>
      </c>
      <c r="B26">
        <f>'Fig. 1 + 3'!B26*1000</f>
        <v>8000</v>
      </c>
    </row>
    <row r="27" spans="1:2" x14ac:dyDescent="0.3">
      <c r="A27" t="s">
        <v>73</v>
      </c>
      <c r="B27">
        <f>'Fig. 1 + 3'!B27*1000</f>
        <v>4000</v>
      </c>
    </row>
    <row r="28" spans="1:2" x14ac:dyDescent="0.3">
      <c r="A28" t="s">
        <v>74</v>
      </c>
      <c r="B28">
        <f>'Fig. 1 + 3'!B28*1000</f>
        <v>8000</v>
      </c>
    </row>
    <row r="29" spans="1:2" x14ac:dyDescent="0.3">
      <c r="A29" t="s">
        <v>75</v>
      </c>
      <c r="B29">
        <f>'Fig. 1 + 3'!B29*1000</f>
        <v>8000</v>
      </c>
    </row>
    <row r="30" spans="1:2" x14ac:dyDescent="0.3">
      <c r="A30" t="s">
        <v>76</v>
      </c>
      <c r="B30">
        <f>'Fig. 1 + 3'!B30*1000</f>
        <v>128000</v>
      </c>
    </row>
    <row r="31" spans="1:2" x14ac:dyDescent="0.3">
      <c r="A31" t="s">
        <v>77</v>
      </c>
      <c r="B31">
        <f>'Fig. 1 + 3'!B31*1000</f>
        <v>8000</v>
      </c>
    </row>
    <row r="32" spans="1:2" x14ac:dyDescent="0.3">
      <c r="A32" t="s">
        <v>0</v>
      </c>
      <c r="B32">
        <f>'Fig. 1 + 3'!B32*1000</f>
        <v>4000</v>
      </c>
    </row>
    <row r="33" spans="1:2" x14ac:dyDescent="0.3">
      <c r="A33" t="s">
        <v>1</v>
      </c>
      <c r="B33">
        <f>'Fig. 1 + 3'!B33*1000</f>
        <v>4000</v>
      </c>
    </row>
    <row r="34" spans="1:2" x14ac:dyDescent="0.3">
      <c r="A34" t="s">
        <v>2</v>
      </c>
      <c r="B34">
        <f>'Fig. 1 + 3'!B34*1000</f>
        <v>4000</v>
      </c>
    </row>
    <row r="35" spans="1:2" x14ac:dyDescent="0.3">
      <c r="A35" t="s">
        <v>3</v>
      </c>
      <c r="B35">
        <f>'Fig. 1 + 3'!B35*1000</f>
        <v>8000</v>
      </c>
    </row>
    <row r="36" spans="1:2" x14ac:dyDescent="0.3">
      <c r="A36" t="s">
        <v>4</v>
      </c>
      <c r="B36">
        <f>'Fig. 1 + 3'!B36*1000</f>
        <v>8000</v>
      </c>
    </row>
    <row r="37" spans="1:2" x14ac:dyDescent="0.3">
      <c r="A37" t="s">
        <v>5</v>
      </c>
      <c r="B37">
        <f>'Fig. 1 + 3'!B37*1000</f>
        <v>8000</v>
      </c>
    </row>
    <row r="38" spans="1:2" x14ac:dyDescent="0.3">
      <c r="A38" t="s">
        <v>78</v>
      </c>
      <c r="B38">
        <f>'Fig. 1 + 3'!B38*1000</f>
        <v>4000</v>
      </c>
    </row>
    <row r="39" spans="1:2" x14ac:dyDescent="0.3">
      <c r="A39" t="s">
        <v>79</v>
      </c>
      <c r="B39">
        <f>'Fig. 1 + 3'!B39*1000</f>
        <v>4000</v>
      </c>
    </row>
    <row r="40" spans="1:2" x14ac:dyDescent="0.3">
      <c r="A40" t="s">
        <v>80</v>
      </c>
      <c r="B40">
        <f>'Fig. 1 + 3'!B40*1000</f>
        <v>4000</v>
      </c>
    </row>
    <row r="41" spans="1:2" x14ac:dyDescent="0.3">
      <c r="A41" t="s">
        <v>84</v>
      </c>
      <c r="B41">
        <f>'Fig. 1 + 3'!B41*1000</f>
        <v>4000</v>
      </c>
    </row>
    <row r="42" spans="1:2" x14ac:dyDescent="0.3">
      <c r="A42" t="s">
        <v>85</v>
      </c>
      <c r="B42">
        <f>'Fig. 1 + 3'!B42*1000</f>
        <v>8000</v>
      </c>
    </row>
    <row r="43" spans="1:2" x14ac:dyDescent="0.3">
      <c r="A43" t="s">
        <v>86</v>
      </c>
      <c r="B43">
        <f>'Fig. 1 + 3'!B43*1000</f>
        <v>2000</v>
      </c>
    </row>
    <row r="44" spans="1:2" x14ac:dyDescent="0.3">
      <c r="A44" t="s">
        <v>7</v>
      </c>
      <c r="B44">
        <f>'Fig. 1 + 3'!B44*1000</f>
        <v>1000</v>
      </c>
    </row>
    <row r="45" spans="1:2" x14ac:dyDescent="0.3">
      <c r="A45" t="s">
        <v>8</v>
      </c>
      <c r="B45">
        <f>'Fig. 1 + 3'!B45*1000</f>
        <v>1000</v>
      </c>
    </row>
    <row r="46" spans="1:2" x14ac:dyDescent="0.3">
      <c r="A46" t="s">
        <v>9</v>
      </c>
      <c r="B46">
        <f>'Fig. 1 + 3'!B46*1000</f>
        <v>1000</v>
      </c>
    </row>
    <row r="47" spans="1:2" x14ac:dyDescent="0.3">
      <c r="A47" t="s">
        <v>10</v>
      </c>
      <c r="B47">
        <f>'Fig. 1 + 3'!B47*1000</f>
        <v>1000</v>
      </c>
    </row>
    <row r="48" spans="1:2" x14ac:dyDescent="0.3">
      <c r="A48" t="s">
        <v>11</v>
      </c>
      <c r="B48">
        <f>'Fig. 1 + 3'!B48*1000</f>
        <v>500</v>
      </c>
    </row>
    <row r="49" spans="1:2" x14ac:dyDescent="0.3">
      <c r="A49" t="s">
        <v>12</v>
      </c>
      <c r="B49">
        <f>'Fig. 1 + 3'!B49*1000</f>
        <v>1000</v>
      </c>
    </row>
    <row r="50" spans="1:2" x14ac:dyDescent="0.3">
      <c r="A50" t="s">
        <v>87</v>
      </c>
      <c r="B50">
        <f>'Fig. 1 + 3'!B50*1000</f>
        <v>4000</v>
      </c>
    </row>
    <row r="51" spans="1:2" x14ac:dyDescent="0.3">
      <c r="A51" t="s">
        <v>88</v>
      </c>
      <c r="B51">
        <f>'Fig. 1 + 3'!B51*1000</f>
        <v>8000</v>
      </c>
    </row>
    <row r="52" spans="1:2" x14ac:dyDescent="0.3">
      <c r="A52" t="s">
        <v>89</v>
      </c>
      <c r="B52">
        <f>'Fig. 1 + 3'!B52*1000</f>
        <v>4000</v>
      </c>
    </row>
    <row r="53" spans="1:2" x14ac:dyDescent="0.3">
      <c r="A53" t="s">
        <v>90</v>
      </c>
      <c r="B53">
        <f>'Fig. 1 + 3'!B53*1000</f>
        <v>4000</v>
      </c>
    </row>
    <row r="54" spans="1:2" x14ac:dyDescent="0.3">
      <c r="A54" t="s">
        <v>91</v>
      </c>
      <c r="B54">
        <f>'Fig. 1 + 3'!B54*1000</f>
        <v>4000</v>
      </c>
    </row>
    <row r="55" spans="1:2" x14ac:dyDescent="0.3">
      <c r="A55" t="s">
        <v>92</v>
      </c>
      <c r="B55">
        <f>'Fig. 1 + 3'!B55*1000</f>
        <v>8000</v>
      </c>
    </row>
    <row r="56" spans="1:2" x14ac:dyDescent="0.3">
      <c r="A56" t="s">
        <v>14</v>
      </c>
      <c r="B56">
        <f>'Fig. 1 + 3'!B56*1000</f>
        <v>2000</v>
      </c>
    </row>
    <row r="57" spans="1:2" x14ac:dyDescent="0.3">
      <c r="A57" t="s">
        <v>15</v>
      </c>
      <c r="B57">
        <f>'Fig. 1 + 3'!B57*1000</f>
        <v>2000</v>
      </c>
    </row>
    <row r="58" spans="1:2" x14ac:dyDescent="0.3">
      <c r="A58" t="s">
        <v>16</v>
      </c>
      <c r="B58">
        <f>'Fig. 1 + 3'!B58*1000</f>
        <v>2000</v>
      </c>
    </row>
    <row r="59" spans="1:2" x14ac:dyDescent="0.3">
      <c r="A59" t="s">
        <v>17</v>
      </c>
      <c r="B59">
        <f>'Fig. 1 + 3'!B59*1000</f>
        <v>2000</v>
      </c>
    </row>
    <row r="60" spans="1:2" x14ac:dyDescent="0.3">
      <c r="A60" t="s">
        <v>18</v>
      </c>
      <c r="B60">
        <f>'Fig. 1 + 3'!B60*1000</f>
        <v>2000</v>
      </c>
    </row>
    <row r="61" spans="1:2" x14ac:dyDescent="0.3">
      <c r="A61" t="s">
        <v>19</v>
      </c>
      <c r="B61">
        <f>'Fig. 1 + 3'!B61*1000</f>
        <v>2000</v>
      </c>
    </row>
    <row r="62" spans="1:2" x14ac:dyDescent="0.3">
      <c r="A62" t="s">
        <v>81</v>
      </c>
      <c r="B62">
        <f>'Fig. 1 + 3'!B62*1000</f>
        <v>16000</v>
      </c>
    </row>
    <row r="63" spans="1:2" x14ac:dyDescent="0.3">
      <c r="A63" t="s">
        <v>82</v>
      </c>
      <c r="B63">
        <f>'Fig. 1 + 3'!B63*1000</f>
        <v>16000</v>
      </c>
    </row>
    <row r="64" spans="1:2" x14ac:dyDescent="0.3">
      <c r="A64" t="s">
        <v>83</v>
      </c>
      <c r="B64">
        <f>'Fig. 1 + 3'!B64*1000</f>
        <v>16000</v>
      </c>
    </row>
    <row r="65" spans="1:2" x14ac:dyDescent="0.3">
      <c r="A65" t="s">
        <v>93</v>
      </c>
      <c r="B65">
        <f>'Fig. 1 + 3'!B65*1000</f>
        <v>16000</v>
      </c>
    </row>
    <row r="66" spans="1:2" x14ac:dyDescent="0.3">
      <c r="A66" t="s">
        <v>94</v>
      </c>
      <c r="B66">
        <f>'Fig. 1 + 3'!B66*1000</f>
        <v>16000</v>
      </c>
    </row>
    <row r="67" spans="1:2" x14ac:dyDescent="0.3">
      <c r="A67" t="s">
        <v>95</v>
      </c>
      <c r="B67">
        <f>'Fig. 1 + 3'!B67*1000</f>
        <v>4000</v>
      </c>
    </row>
    <row r="68" spans="1:2" x14ac:dyDescent="0.3">
      <c r="A68" t="s">
        <v>20</v>
      </c>
      <c r="B68">
        <f>'Fig. 1 + 3'!B68*1000</f>
        <v>4000</v>
      </c>
    </row>
    <row r="69" spans="1:2" x14ac:dyDescent="0.3">
      <c r="A69" t="s">
        <v>21</v>
      </c>
      <c r="B69">
        <f>'Fig. 1 + 3'!B69*1000</f>
        <v>4000</v>
      </c>
    </row>
    <row r="70" spans="1:2" x14ac:dyDescent="0.3">
      <c r="A70" t="s">
        <v>22</v>
      </c>
      <c r="B70">
        <f>'Fig. 1 + 3'!B70*1000</f>
        <v>2000</v>
      </c>
    </row>
    <row r="71" spans="1:2" x14ac:dyDescent="0.3">
      <c r="A71" t="s">
        <v>23</v>
      </c>
      <c r="B71">
        <f>'Fig. 1 + 3'!B71*1000</f>
        <v>2000</v>
      </c>
    </row>
    <row r="72" spans="1:2" x14ac:dyDescent="0.3">
      <c r="A72" t="s">
        <v>24</v>
      </c>
      <c r="B72">
        <f>'Fig. 1 + 3'!B72*1000</f>
        <v>2000</v>
      </c>
    </row>
    <row r="73" spans="1:2" x14ac:dyDescent="0.3">
      <c r="A73" t="s">
        <v>25</v>
      </c>
      <c r="B73">
        <f>'Fig. 1 + 3'!B73*1000</f>
        <v>2000</v>
      </c>
    </row>
    <row r="74" spans="1:2" x14ac:dyDescent="0.3">
      <c r="A74" t="s">
        <v>96</v>
      </c>
      <c r="B74">
        <f>'Fig. 1 + 3'!B74*1000</f>
        <v>2000</v>
      </c>
    </row>
    <row r="75" spans="1:2" x14ac:dyDescent="0.3">
      <c r="A75" t="s">
        <v>97</v>
      </c>
      <c r="B75">
        <f>'Fig. 1 + 3'!B75*1000</f>
        <v>2000</v>
      </c>
    </row>
    <row r="76" spans="1:2" x14ac:dyDescent="0.3">
      <c r="A76" t="s">
        <v>98</v>
      </c>
      <c r="B76">
        <f>'Fig. 1 + 3'!B76*1000</f>
        <v>2000</v>
      </c>
    </row>
    <row r="77" spans="1:2" x14ac:dyDescent="0.3">
      <c r="A77" t="s">
        <v>99</v>
      </c>
      <c r="B77">
        <f>'Fig. 1 + 3'!B77*1000</f>
        <v>2000</v>
      </c>
    </row>
    <row r="78" spans="1:2" x14ac:dyDescent="0.3">
      <c r="A78" t="s">
        <v>100</v>
      </c>
      <c r="B78">
        <f>'Fig. 1 + 3'!B78*1000</f>
        <v>1000</v>
      </c>
    </row>
    <row r="79" spans="1:2" x14ac:dyDescent="0.3">
      <c r="A79" t="s">
        <v>101</v>
      </c>
      <c r="B79">
        <f>'Fig. 1 + 3'!B79*1000</f>
        <v>1000</v>
      </c>
    </row>
    <row r="80" spans="1:2" x14ac:dyDescent="0.3">
      <c r="A80" t="s">
        <v>27</v>
      </c>
      <c r="B80">
        <f>'Fig. 1 + 3'!B80*1000</f>
        <v>1000</v>
      </c>
    </row>
    <row r="81" spans="1:2" x14ac:dyDescent="0.3">
      <c r="A81" t="s">
        <v>28</v>
      </c>
      <c r="B81">
        <f>'Fig. 1 + 3'!B81*1000</f>
        <v>1000</v>
      </c>
    </row>
    <row r="82" spans="1:2" x14ac:dyDescent="0.3">
      <c r="A82" t="s">
        <v>29</v>
      </c>
      <c r="B82">
        <f>'Fig. 1 + 3'!B82*1000</f>
        <v>1000</v>
      </c>
    </row>
    <row r="83" spans="1:2" x14ac:dyDescent="0.3">
      <c r="A83" t="s">
        <v>30</v>
      </c>
      <c r="B83">
        <f>'Fig. 1 + 3'!B83*1000</f>
        <v>1000</v>
      </c>
    </row>
    <row r="84" spans="1:2" x14ac:dyDescent="0.3">
      <c r="A84" t="s">
        <v>31</v>
      </c>
      <c r="B84">
        <f>'Fig. 1 + 3'!B84*1000</f>
        <v>500</v>
      </c>
    </row>
    <row r="85" spans="1:2" x14ac:dyDescent="0.3">
      <c r="A85" t="s">
        <v>32</v>
      </c>
      <c r="B85">
        <f>'Fig. 1 + 3'!B85*1000</f>
        <v>500</v>
      </c>
    </row>
    <row r="86" spans="1:2" x14ac:dyDescent="0.3">
      <c r="A86" t="s">
        <v>102</v>
      </c>
      <c r="B86">
        <f>'Fig. 1 + 3'!B86*1000</f>
        <v>2000</v>
      </c>
    </row>
    <row r="87" spans="1:2" x14ac:dyDescent="0.3">
      <c r="A87" t="s">
        <v>103</v>
      </c>
      <c r="B87">
        <f>'Fig. 1 + 3'!B87*1000</f>
        <v>2000</v>
      </c>
    </row>
    <row r="88" spans="1:2" x14ac:dyDescent="0.3">
      <c r="A88" t="s">
        <v>104</v>
      </c>
      <c r="B88">
        <f>'Fig. 1 + 3'!B88*1000</f>
        <v>4000</v>
      </c>
    </row>
    <row r="89" spans="1:2" x14ac:dyDescent="0.3">
      <c r="A89" t="s">
        <v>105</v>
      </c>
      <c r="B89">
        <f>'Fig. 1 + 3'!B89*1000</f>
        <v>2000</v>
      </c>
    </row>
    <row r="90" spans="1:2" x14ac:dyDescent="0.3">
      <c r="A90" t="s">
        <v>106</v>
      </c>
      <c r="B90">
        <f>'Fig. 1 + 3'!B90*1000</f>
        <v>1000</v>
      </c>
    </row>
    <row r="91" spans="1:2" x14ac:dyDescent="0.3">
      <c r="A91" t="s">
        <v>107</v>
      </c>
      <c r="B91">
        <f>'Fig. 1 + 3'!B91*1000</f>
        <v>1000</v>
      </c>
    </row>
    <row r="92" spans="1:2" x14ac:dyDescent="0.3">
      <c r="A92" t="s">
        <v>33</v>
      </c>
      <c r="B92">
        <f>'Fig. 1 + 3'!B92*1000</f>
        <v>1000</v>
      </c>
    </row>
    <row r="93" spans="1:2" x14ac:dyDescent="0.3">
      <c r="A93" t="s">
        <v>34</v>
      </c>
      <c r="B93">
        <f>'Fig. 1 + 3'!B93*1000</f>
        <v>2000</v>
      </c>
    </row>
    <row r="94" spans="1:2" x14ac:dyDescent="0.3">
      <c r="A94" t="s">
        <v>35</v>
      </c>
      <c r="B94">
        <f>'Fig. 1 + 3'!B94*1000</f>
        <v>1000</v>
      </c>
    </row>
    <row r="95" spans="1:2" x14ac:dyDescent="0.3">
      <c r="A95" t="s">
        <v>36</v>
      </c>
      <c r="B95">
        <f>'Fig. 1 + 3'!B95*1000</f>
        <v>500</v>
      </c>
    </row>
    <row r="96" spans="1:2" x14ac:dyDescent="0.3">
      <c r="A96" t="s">
        <v>37</v>
      </c>
      <c r="B96">
        <f>'Fig. 1 + 3'!B96*1000</f>
        <v>500</v>
      </c>
    </row>
    <row r="97" spans="1:2" x14ac:dyDescent="0.3">
      <c r="A97" t="s">
        <v>38</v>
      </c>
      <c r="B97">
        <f>'Fig. 1 + 3'!B97*1000</f>
        <v>500</v>
      </c>
    </row>
    <row r="98" spans="1:2" x14ac:dyDescent="0.3">
      <c r="A98" t="s">
        <v>108</v>
      </c>
      <c r="B98">
        <f>'Fig. 1 + 3'!B98*1000</f>
        <v>500</v>
      </c>
    </row>
    <row r="99" spans="1:2" x14ac:dyDescent="0.3">
      <c r="A99" t="s">
        <v>109</v>
      </c>
      <c r="B99">
        <f>'Fig. 1 + 3'!B99*1000</f>
        <v>1000</v>
      </c>
    </row>
    <row r="100" spans="1:2" x14ac:dyDescent="0.3">
      <c r="A100" t="s">
        <v>110</v>
      </c>
      <c r="B100">
        <f>'Fig. 1 + 3'!B100*1000</f>
        <v>1000</v>
      </c>
    </row>
    <row r="101" spans="1:2" x14ac:dyDescent="0.3">
      <c r="A101" t="s">
        <v>111</v>
      </c>
      <c r="B101">
        <f>'Fig. 1 + 3'!B101*1000</f>
        <v>500</v>
      </c>
    </row>
    <row r="102" spans="1:2" x14ac:dyDescent="0.3">
      <c r="A102" t="s">
        <v>112</v>
      </c>
      <c r="B102">
        <f>'Fig. 1 + 3'!B102*1000</f>
        <v>500</v>
      </c>
    </row>
    <row r="103" spans="1:2" x14ac:dyDescent="0.3">
      <c r="A103" t="s">
        <v>113</v>
      </c>
      <c r="B103">
        <f>'Fig. 1 + 3'!B103*1000</f>
        <v>500</v>
      </c>
    </row>
    <row r="104" spans="1:2" x14ac:dyDescent="0.3">
      <c r="A104" t="s">
        <v>40</v>
      </c>
      <c r="B104">
        <f>'Fig. 1 + 3'!B104*1000</f>
        <v>500</v>
      </c>
    </row>
    <row r="105" spans="1:2" x14ac:dyDescent="0.3">
      <c r="A105" t="s">
        <v>41</v>
      </c>
      <c r="B105">
        <f>'Fig. 1 + 3'!B105*1000</f>
        <v>500</v>
      </c>
    </row>
    <row r="106" spans="1:2" x14ac:dyDescent="0.3">
      <c r="A106" t="s">
        <v>42</v>
      </c>
      <c r="B106">
        <f>'Fig. 1 + 3'!B106*1000</f>
        <v>500</v>
      </c>
    </row>
    <row r="107" spans="1:2" x14ac:dyDescent="0.3">
      <c r="A107" t="s">
        <v>43</v>
      </c>
      <c r="B107">
        <f>'Fig. 1 + 3'!B107*1000</f>
        <v>250</v>
      </c>
    </row>
    <row r="108" spans="1:2" x14ac:dyDescent="0.3">
      <c r="A108" t="s">
        <v>44</v>
      </c>
      <c r="B108">
        <f>'Fig. 1 + 3'!B108*1000</f>
        <v>125</v>
      </c>
    </row>
    <row r="109" spans="1:2" x14ac:dyDescent="0.3">
      <c r="A109" t="s">
        <v>45</v>
      </c>
      <c r="B109">
        <f>'Fig. 1 + 3'!B109*1000</f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5E053-A3CB-421E-8BD9-958449056574}">
  <dimension ref="A1:B61"/>
  <sheetViews>
    <sheetView workbookViewId="0">
      <selection activeCell="A14" sqref="A14:A16"/>
    </sheetView>
  </sheetViews>
  <sheetFormatPr defaultRowHeight="14.4" x14ac:dyDescent="0.3"/>
  <cols>
    <col min="1" max="1" width="21" bestFit="1" customWidth="1"/>
    <col min="2" max="2" width="25.44140625" bestFit="1" customWidth="1"/>
  </cols>
  <sheetData>
    <row r="1" spans="1:2" x14ac:dyDescent="0.3">
      <c r="A1" s="1" t="s">
        <v>47</v>
      </c>
      <c r="B1" s="1" t="s">
        <v>129</v>
      </c>
    </row>
    <row r="2" spans="1:2" x14ac:dyDescent="0.3">
      <c r="A2" t="s">
        <v>48</v>
      </c>
      <c r="B2" s="3">
        <f>'Fig. S1A+B'!B2*100</f>
        <v>121.2389381</v>
      </c>
    </row>
    <row r="3" spans="1:2" x14ac:dyDescent="0.3">
      <c r="A3" t="s">
        <v>49</v>
      </c>
      <c r="B3" s="3">
        <f>'Fig. S1A+B'!B3*100</f>
        <v>94.368463399999996</v>
      </c>
    </row>
    <row r="4" spans="1:2" x14ac:dyDescent="0.3">
      <c r="A4" t="s">
        <v>50</v>
      </c>
      <c r="B4" s="3">
        <f>'Fig. S1A+B'!B4*100</f>
        <v>152.05148829999999</v>
      </c>
    </row>
    <row r="5" spans="1:2" x14ac:dyDescent="0.3">
      <c r="A5" t="s">
        <v>54</v>
      </c>
      <c r="B5" s="3">
        <f>'Fig. S1A+B'!B5*100</f>
        <v>89.621882499999998</v>
      </c>
    </row>
    <row r="6" spans="1:2" x14ac:dyDescent="0.3">
      <c r="A6" t="s">
        <v>55</v>
      </c>
      <c r="B6" s="3">
        <f>'Fig. S1A+B'!B6*100</f>
        <v>115.20514879999999</v>
      </c>
    </row>
    <row r="7" spans="1:2" x14ac:dyDescent="0.3">
      <c r="A7" t="s">
        <v>56</v>
      </c>
      <c r="B7" s="3">
        <f>'Fig. S1A+B'!B7*100</f>
        <v>83.1858407</v>
      </c>
    </row>
    <row r="8" spans="1:2" x14ac:dyDescent="0.3">
      <c r="A8" t="s">
        <v>60</v>
      </c>
      <c r="B8" s="3">
        <f>'Fig. S1A+B'!B8*100</f>
        <v>299.75864840000003</v>
      </c>
    </row>
    <row r="9" spans="1:2" x14ac:dyDescent="0.3">
      <c r="A9" t="s">
        <v>61</v>
      </c>
      <c r="B9" s="3">
        <f>'Fig. S1A+B'!B9*100</f>
        <v>375.2212389</v>
      </c>
    </row>
    <row r="10" spans="1:2" x14ac:dyDescent="0.3">
      <c r="A10" t="s">
        <v>62</v>
      </c>
      <c r="B10" s="3">
        <f>'Fig. S1A+B'!B10*100</f>
        <v>192.920354</v>
      </c>
    </row>
    <row r="11" spans="1:2" x14ac:dyDescent="0.3">
      <c r="A11" t="s">
        <v>66</v>
      </c>
      <c r="B11" s="3">
        <f>'Fig. S1A+B'!B11*100</f>
        <v>104.7465809</v>
      </c>
    </row>
    <row r="12" spans="1:2" x14ac:dyDescent="0.3">
      <c r="A12" t="s">
        <v>67</v>
      </c>
      <c r="B12" s="3">
        <f>'Fig. S1A+B'!B12*100</f>
        <v>139.74255829999998</v>
      </c>
    </row>
    <row r="13" spans="1:2" x14ac:dyDescent="0.3">
      <c r="A13" t="s">
        <v>68</v>
      </c>
      <c r="B13" s="3">
        <f>'Fig. S1A+B'!B13*100</f>
        <v>141.19066770000001</v>
      </c>
    </row>
    <row r="14" spans="1:2" x14ac:dyDescent="0.3">
      <c r="A14" t="s">
        <v>160</v>
      </c>
      <c r="B14" s="3">
        <f>'Fig. S1A+B'!B14*100</f>
        <v>99.839099000000004</v>
      </c>
    </row>
    <row r="15" spans="1:2" x14ac:dyDescent="0.3">
      <c r="A15" t="s">
        <v>161</v>
      </c>
      <c r="B15" s="3">
        <f>'Fig. S1A+B'!B15*100</f>
        <v>158.24617860000001</v>
      </c>
    </row>
    <row r="16" spans="1:2" x14ac:dyDescent="0.3">
      <c r="A16" t="s">
        <v>162</v>
      </c>
      <c r="B16" s="3">
        <f>'Fig. S1A+B'!B16*100</f>
        <v>114.15929199999999</v>
      </c>
    </row>
    <row r="17" spans="1:2" x14ac:dyDescent="0.3">
      <c r="A17" t="s">
        <v>75</v>
      </c>
      <c r="B17" s="3">
        <f>'Fig. S1A+B'!B17*100</f>
        <v>91.069991999999999</v>
      </c>
    </row>
    <row r="18" spans="1:2" x14ac:dyDescent="0.3">
      <c r="A18" t="s">
        <v>76</v>
      </c>
      <c r="B18" s="3">
        <f>'Fig. S1A+B'!B18*100</f>
        <v>108.60820600000001</v>
      </c>
    </row>
    <row r="19" spans="1:2" x14ac:dyDescent="0.3">
      <c r="A19" t="s">
        <v>77</v>
      </c>
      <c r="B19" s="3">
        <f>'Fig. S1A+B'!B19*100</f>
        <v>155.99356399999999</v>
      </c>
    </row>
    <row r="20" spans="1:2" x14ac:dyDescent="0.3">
      <c r="A20" t="s">
        <v>78</v>
      </c>
      <c r="B20" s="3">
        <f>'Fig. S1A+B'!B20*100</f>
        <v>224.29605789999999</v>
      </c>
    </row>
    <row r="21" spans="1:2" x14ac:dyDescent="0.3">
      <c r="A21" t="s">
        <v>79</v>
      </c>
      <c r="B21" s="3">
        <f>'Fig. S1A+B'!B21*100</f>
        <v>270.79646020000001</v>
      </c>
    </row>
    <row r="22" spans="1:2" x14ac:dyDescent="0.3">
      <c r="A22" t="s">
        <v>80</v>
      </c>
      <c r="B22" s="3">
        <f>'Fig. S1A+B'!B22*100</f>
        <v>257.28077229999997</v>
      </c>
    </row>
    <row r="23" spans="1:2" x14ac:dyDescent="0.3">
      <c r="A23" t="s">
        <v>84</v>
      </c>
      <c r="B23" s="3">
        <f>'Fig. S1A+B'!B23*100</f>
        <v>132.82381340000001</v>
      </c>
    </row>
    <row r="24" spans="1:2" x14ac:dyDescent="0.3">
      <c r="A24" t="s">
        <v>85</v>
      </c>
      <c r="B24" s="3">
        <f>'Fig. S1A+B'!B24*100</f>
        <v>219.46902650000001</v>
      </c>
    </row>
    <row r="25" spans="1:2" x14ac:dyDescent="0.3">
      <c r="A25" t="s">
        <v>86</v>
      </c>
      <c r="B25" s="3">
        <f>'Fig. S1A+B'!B25*100</f>
        <v>267.09573610000001</v>
      </c>
    </row>
    <row r="26" spans="1:2" x14ac:dyDescent="0.3">
      <c r="A26" t="s">
        <v>87</v>
      </c>
      <c r="B26" s="3">
        <f>'Fig. S1A+B'!B26*100</f>
        <v>115.7683025</v>
      </c>
    </row>
    <row r="27" spans="1:2" x14ac:dyDescent="0.3">
      <c r="A27" t="s">
        <v>88</v>
      </c>
      <c r="B27" s="3">
        <f>'Fig. S1A+B'!B27*100</f>
        <v>105.55108609999999</v>
      </c>
    </row>
    <row r="28" spans="1:2" x14ac:dyDescent="0.3">
      <c r="A28" t="s">
        <v>89</v>
      </c>
      <c r="B28" s="3">
        <f>'Fig. S1A+B'!B28*100</f>
        <v>101.20675779999999</v>
      </c>
    </row>
    <row r="29" spans="1:2" x14ac:dyDescent="0.3">
      <c r="A29" t="s">
        <v>90</v>
      </c>
      <c r="B29" s="3">
        <f>'Fig. S1A+B'!B29*100</f>
        <v>108.76910699999999</v>
      </c>
    </row>
    <row r="30" spans="1:2" x14ac:dyDescent="0.3">
      <c r="A30" t="s">
        <v>91</v>
      </c>
      <c r="B30" s="3">
        <f>'Fig. S1A+B'!B30*100</f>
        <v>124.2156074</v>
      </c>
    </row>
    <row r="31" spans="1:2" x14ac:dyDescent="0.3">
      <c r="A31" t="s">
        <v>92</v>
      </c>
      <c r="B31" s="3">
        <f>'Fig. S1A+B'!B31*100</f>
        <v>117.86001610000001</v>
      </c>
    </row>
    <row r="32" spans="1:2" x14ac:dyDescent="0.3">
      <c r="A32" t="s">
        <v>81</v>
      </c>
      <c r="B32" s="3">
        <f>'Fig. S1A+B'!B32*100</f>
        <v>134.75462590000001</v>
      </c>
    </row>
    <row r="33" spans="1:2" x14ac:dyDescent="0.3">
      <c r="A33" t="s">
        <v>82</v>
      </c>
      <c r="B33" s="3">
        <f>'Fig. S1A+B'!B33*100</f>
        <v>109.73451329999999</v>
      </c>
    </row>
    <row r="34" spans="1:2" x14ac:dyDescent="0.3">
      <c r="A34" t="s">
        <v>83</v>
      </c>
      <c r="B34" s="3">
        <f>'Fig. S1A+B'!B34*100</f>
        <v>233.7892196</v>
      </c>
    </row>
    <row r="35" spans="1:2" x14ac:dyDescent="0.3">
      <c r="A35" t="s">
        <v>93</v>
      </c>
      <c r="B35" s="3">
        <f>'Fig. S1A+B'!B35*100</f>
        <v>97.1037812</v>
      </c>
    </row>
    <row r="36" spans="1:2" x14ac:dyDescent="0.3">
      <c r="A36" t="s">
        <v>94</v>
      </c>
      <c r="B36" s="3">
        <f>'Fig. S1A+B'!B36*100</f>
        <v>92.115848799999995</v>
      </c>
    </row>
    <row r="37" spans="1:2" x14ac:dyDescent="0.3">
      <c r="A37" t="s">
        <v>95</v>
      </c>
      <c r="B37" s="3">
        <f>'Fig. S1A+B'!B37*100</f>
        <v>268.7851971</v>
      </c>
    </row>
    <row r="38" spans="1:2" x14ac:dyDescent="0.3">
      <c r="A38" t="s">
        <v>96</v>
      </c>
      <c r="B38" s="3">
        <f>'Fig. S1A+B'!B38*100</f>
        <v>111.66532579999999</v>
      </c>
    </row>
    <row r="39" spans="1:2" x14ac:dyDescent="0.3">
      <c r="A39" t="s">
        <v>97</v>
      </c>
      <c r="B39" s="3">
        <f>'Fig. S1A+B'!B39*100</f>
        <v>105.87288820000001</v>
      </c>
    </row>
    <row r="40" spans="1:2" x14ac:dyDescent="0.3">
      <c r="A40" t="s">
        <v>98</v>
      </c>
      <c r="B40" s="3">
        <f>'Fig. S1A+B'!B40*100</f>
        <v>93.000804500000001</v>
      </c>
    </row>
    <row r="41" spans="1:2" x14ac:dyDescent="0.3">
      <c r="A41" t="s">
        <v>99</v>
      </c>
      <c r="B41" s="3">
        <f>'Fig. S1A+B'!B41*100</f>
        <v>110.2172164</v>
      </c>
    </row>
    <row r="42" spans="1:2" x14ac:dyDescent="0.3">
      <c r="A42" t="s">
        <v>100</v>
      </c>
      <c r="B42" s="3">
        <f>'Fig. S1A+B'!B42*100</f>
        <v>123.8938053</v>
      </c>
    </row>
    <row r="43" spans="1:2" x14ac:dyDescent="0.3">
      <c r="A43" t="s">
        <v>101</v>
      </c>
      <c r="B43" s="3">
        <f>'Fig. S1A+B'!B43*100</f>
        <v>121.39983910000001</v>
      </c>
    </row>
    <row r="44" spans="1:2" x14ac:dyDescent="0.3">
      <c r="A44" t="s">
        <v>102</v>
      </c>
      <c r="B44" s="3">
        <f>'Fig. S1A+B'!B44*100</f>
        <v>237.2485921</v>
      </c>
    </row>
    <row r="45" spans="1:2" x14ac:dyDescent="0.3">
      <c r="A45" t="s">
        <v>103</v>
      </c>
      <c r="B45" s="3">
        <f>'Fig. S1A+B'!B45*100</f>
        <v>91.954947700000005</v>
      </c>
    </row>
    <row r="46" spans="1:2" x14ac:dyDescent="0.3">
      <c r="A46" t="s">
        <v>104</v>
      </c>
      <c r="B46" s="3">
        <f>'Fig. S1A+B'!B46*100</f>
        <v>104.82703140000001</v>
      </c>
    </row>
    <row r="47" spans="1:2" x14ac:dyDescent="0.3">
      <c r="A47" t="s">
        <v>105</v>
      </c>
      <c r="B47" s="3">
        <f>'Fig. S1A+B'!B47*100</f>
        <v>105.6315366</v>
      </c>
    </row>
    <row r="48" spans="1:2" x14ac:dyDescent="0.3">
      <c r="A48" t="s">
        <v>106</v>
      </c>
      <c r="B48" s="3">
        <f>'Fig. S1A+B'!B48*100</f>
        <v>141.5929204</v>
      </c>
    </row>
    <row r="49" spans="1:2" x14ac:dyDescent="0.3">
      <c r="A49" t="s">
        <v>107</v>
      </c>
      <c r="B49" s="3">
        <f>'Fig. S1A+B'!B49*100</f>
        <v>124.0547064</v>
      </c>
    </row>
    <row r="50" spans="1:2" x14ac:dyDescent="0.3">
      <c r="A50" t="s">
        <v>108</v>
      </c>
      <c r="B50" s="3">
        <f>'Fig. S1A+B'!B50*100</f>
        <v>127.4336283</v>
      </c>
    </row>
    <row r="51" spans="1:2" x14ac:dyDescent="0.3">
      <c r="A51" t="s">
        <v>109</v>
      </c>
      <c r="B51" s="3">
        <f>'Fig. S1A+B'!B51*100</f>
        <v>154.70635559999999</v>
      </c>
    </row>
    <row r="52" spans="1:2" x14ac:dyDescent="0.3">
      <c r="A52" t="s">
        <v>110</v>
      </c>
      <c r="B52" s="3">
        <f>'Fig. S1A+B'!B52*100</f>
        <v>293.64440869999999</v>
      </c>
    </row>
    <row r="53" spans="1:2" x14ac:dyDescent="0.3">
      <c r="A53" t="s">
        <v>111</v>
      </c>
      <c r="B53" s="3">
        <f>'Fig. S1A+B'!B53*100</f>
        <v>153.58004830000002</v>
      </c>
    </row>
    <row r="54" spans="1:2" x14ac:dyDescent="0.3">
      <c r="A54" t="s">
        <v>112</v>
      </c>
      <c r="B54" s="3">
        <f>'Fig. S1A+B'!B54*100</f>
        <v>197.0233307</v>
      </c>
    </row>
    <row r="55" spans="1:2" x14ac:dyDescent="0.3">
      <c r="A55" t="s">
        <v>113</v>
      </c>
      <c r="B55" s="3">
        <f>'Fig. S1A+B'!B55*100</f>
        <v>211.82622690000002</v>
      </c>
    </row>
    <row r="56" spans="1:2" x14ac:dyDescent="0.3">
      <c r="A56" t="s">
        <v>123</v>
      </c>
      <c r="B56" s="3">
        <f>'Fig. S1A+B'!B56*100</f>
        <v>82.622686999999999</v>
      </c>
    </row>
    <row r="57" spans="1:2" x14ac:dyDescent="0.3">
      <c r="A57" t="s">
        <v>124</v>
      </c>
      <c r="B57" s="3">
        <f>'Fig. S1A+B'!B57*100</f>
        <v>96.540627499999999</v>
      </c>
    </row>
    <row r="58" spans="1:2" x14ac:dyDescent="0.3">
      <c r="A58" t="s">
        <v>124</v>
      </c>
      <c r="B58" s="3">
        <f>'Fig. S1A+B'!B58*100</f>
        <v>125.18101370000001</v>
      </c>
    </row>
    <row r="59" spans="1:2" x14ac:dyDescent="0.3">
      <c r="A59" t="s">
        <v>125</v>
      </c>
      <c r="B59" s="3">
        <f>'Fig. S1A+B'!B59*100</f>
        <v>126.7095736</v>
      </c>
    </row>
    <row r="60" spans="1:2" x14ac:dyDescent="0.3">
      <c r="A60" t="s">
        <v>126</v>
      </c>
      <c r="B60" s="3">
        <f>'Fig. S1A+B'!B60*100</f>
        <v>89.300080500000007</v>
      </c>
    </row>
    <row r="61" spans="1:2" x14ac:dyDescent="0.3">
      <c r="A61" t="s">
        <v>127</v>
      </c>
      <c r="B61" s="3">
        <f>'Fig. S1A+B'!B61*100</f>
        <v>95.897023300000001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651DF-3F46-43FB-B76C-B303CF6EC20A}">
  <dimension ref="A1:B61"/>
  <sheetViews>
    <sheetView workbookViewId="0">
      <selection activeCell="C4" sqref="C4"/>
    </sheetView>
  </sheetViews>
  <sheetFormatPr defaultRowHeight="14.4" x14ac:dyDescent="0.3"/>
  <cols>
    <col min="1" max="1" width="21" bestFit="1" customWidth="1"/>
    <col min="2" max="2" width="15.88671875" bestFit="1" customWidth="1"/>
  </cols>
  <sheetData>
    <row r="1" spans="1:2" x14ac:dyDescent="0.3">
      <c r="A1" s="1" t="s">
        <v>47</v>
      </c>
      <c r="B1" s="1" t="s">
        <v>175</v>
      </c>
    </row>
    <row r="2" spans="1:2" x14ac:dyDescent="0.3">
      <c r="A2" t="s">
        <v>48</v>
      </c>
      <c r="B2">
        <v>3.3578277330000001</v>
      </c>
    </row>
    <row r="3" spans="1:2" x14ac:dyDescent="0.3">
      <c r="A3" t="s">
        <v>49</v>
      </c>
      <c r="B3">
        <v>3.2418016280000002</v>
      </c>
    </row>
    <row r="4" spans="1:2" x14ac:dyDescent="0.3">
      <c r="A4" t="s">
        <v>50</v>
      </c>
      <c r="B4">
        <v>3.7777777779999999</v>
      </c>
    </row>
    <row r="5" spans="1:2" x14ac:dyDescent="0.3">
      <c r="A5" t="s">
        <v>54</v>
      </c>
      <c r="B5">
        <v>5.312223028</v>
      </c>
    </row>
    <row r="6" spans="1:2" x14ac:dyDescent="0.3">
      <c r="A6" t="s">
        <v>55</v>
      </c>
      <c r="B6">
        <v>3.991459189</v>
      </c>
    </row>
    <row r="7" spans="1:2" x14ac:dyDescent="0.3">
      <c r="A7" t="s">
        <v>56</v>
      </c>
      <c r="B7">
        <v>3.318346628</v>
      </c>
    </row>
    <row r="8" spans="1:2" x14ac:dyDescent="0.3">
      <c r="A8" t="s">
        <v>60</v>
      </c>
      <c r="B8">
        <v>3.5563612920000001</v>
      </c>
    </row>
    <row r="9" spans="1:2" x14ac:dyDescent="0.3">
      <c r="A9" t="s">
        <v>61</v>
      </c>
      <c r="B9">
        <v>3.7552171460000001</v>
      </c>
    </row>
    <row r="10" spans="1:2" x14ac:dyDescent="0.3">
      <c r="A10" t="s">
        <v>62</v>
      </c>
      <c r="B10">
        <v>1.2227862380000001</v>
      </c>
    </row>
    <row r="11" spans="1:2" x14ac:dyDescent="0.3">
      <c r="A11" t="s">
        <v>66</v>
      </c>
      <c r="B11">
        <v>4.7984852150000004</v>
      </c>
    </row>
    <row r="12" spans="1:2" x14ac:dyDescent="0.3">
      <c r="A12" t="s">
        <v>67</v>
      </c>
      <c r="B12">
        <v>4.2286681169999998</v>
      </c>
    </row>
    <row r="13" spans="1:2" x14ac:dyDescent="0.3">
      <c r="A13" t="s">
        <v>68</v>
      </c>
      <c r="B13">
        <v>1.0100717109999999</v>
      </c>
    </row>
    <row r="14" spans="1:2" x14ac:dyDescent="0.3">
      <c r="A14" t="s">
        <v>160</v>
      </c>
      <c r="B14">
        <v>2.9768753530000001</v>
      </c>
    </row>
    <row r="15" spans="1:2" x14ac:dyDescent="0.3">
      <c r="A15" t="s">
        <v>161</v>
      </c>
      <c r="B15">
        <v>4.2589638220000001</v>
      </c>
    </row>
    <row r="16" spans="1:2" x14ac:dyDescent="0.3">
      <c r="A16" t="s">
        <v>162</v>
      </c>
      <c r="B16">
        <v>0.848763194</v>
      </c>
    </row>
    <row r="17" spans="1:2" x14ac:dyDescent="0.3">
      <c r="A17" t="s">
        <v>75</v>
      </c>
      <c r="B17">
        <v>1.5002820079999999</v>
      </c>
    </row>
    <row r="18" spans="1:2" x14ac:dyDescent="0.3">
      <c r="A18" t="s">
        <v>76</v>
      </c>
      <c r="B18">
        <v>4.5691725080000003</v>
      </c>
    </row>
    <row r="19" spans="1:2" x14ac:dyDescent="0.3">
      <c r="A19" t="s">
        <v>77</v>
      </c>
      <c r="B19">
        <v>4.3580694549999999</v>
      </c>
    </row>
    <row r="20" spans="1:2" x14ac:dyDescent="0.3">
      <c r="A20" t="s">
        <v>78</v>
      </c>
      <c r="B20">
        <v>2.4856981710000001</v>
      </c>
    </row>
    <row r="21" spans="1:2" x14ac:dyDescent="0.3">
      <c r="A21" t="s">
        <v>79</v>
      </c>
      <c r="B21">
        <v>4.0553541209999997</v>
      </c>
    </row>
    <row r="22" spans="1:2" x14ac:dyDescent="0.3">
      <c r="A22" t="s">
        <v>80</v>
      </c>
      <c r="B22">
        <v>3.2434131009999998</v>
      </c>
    </row>
    <row r="23" spans="1:2" x14ac:dyDescent="0.3">
      <c r="A23" t="s">
        <v>84</v>
      </c>
      <c r="B23">
        <v>5.2545322700000003</v>
      </c>
    </row>
    <row r="24" spans="1:2" x14ac:dyDescent="0.3">
      <c r="A24" t="s">
        <v>85</v>
      </c>
      <c r="B24">
        <v>3.6590121670000002</v>
      </c>
    </row>
    <row r="25" spans="1:2" x14ac:dyDescent="0.3">
      <c r="A25" t="s">
        <v>86</v>
      </c>
      <c r="B25">
        <v>1.9057287890000001</v>
      </c>
    </row>
    <row r="26" spans="1:2" x14ac:dyDescent="0.3">
      <c r="A26" t="s">
        <v>87</v>
      </c>
      <c r="B26">
        <v>2.8846990570000002</v>
      </c>
    </row>
    <row r="27" spans="1:2" x14ac:dyDescent="0.3">
      <c r="A27" t="s">
        <v>88</v>
      </c>
      <c r="B27">
        <v>2.4686165500000001</v>
      </c>
    </row>
    <row r="28" spans="1:2" x14ac:dyDescent="0.3">
      <c r="A28" t="s">
        <v>89</v>
      </c>
      <c r="B28">
        <v>3.092579164</v>
      </c>
    </row>
    <row r="29" spans="1:2" x14ac:dyDescent="0.3">
      <c r="A29" t="s">
        <v>90</v>
      </c>
      <c r="B29">
        <v>3.793892515</v>
      </c>
    </row>
    <row r="30" spans="1:2" x14ac:dyDescent="0.3">
      <c r="A30" t="s">
        <v>91</v>
      </c>
      <c r="B30">
        <v>1.493513818</v>
      </c>
    </row>
    <row r="31" spans="1:2" x14ac:dyDescent="0.3">
      <c r="A31" t="s">
        <v>92</v>
      </c>
      <c r="B31">
        <v>3.9540730000000002</v>
      </c>
    </row>
    <row r="32" spans="1:2" x14ac:dyDescent="0.3">
      <c r="A32" t="s">
        <v>81</v>
      </c>
      <c r="B32">
        <v>1.372653291</v>
      </c>
    </row>
    <row r="33" spans="1:2" x14ac:dyDescent="0.3">
      <c r="A33" t="s">
        <v>82</v>
      </c>
      <c r="B33">
        <v>2.848602047</v>
      </c>
    </row>
    <row r="34" spans="1:2" x14ac:dyDescent="0.3">
      <c r="A34" t="s">
        <v>83</v>
      </c>
      <c r="B34">
        <v>3.0015309000000001</v>
      </c>
    </row>
    <row r="35" spans="1:2" x14ac:dyDescent="0.3">
      <c r="A35" t="s">
        <v>93</v>
      </c>
      <c r="B35">
        <v>3.025541858</v>
      </c>
    </row>
    <row r="36" spans="1:2" x14ac:dyDescent="0.3">
      <c r="A36" t="s">
        <v>94</v>
      </c>
      <c r="B36">
        <v>2.688905004</v>
      </c>
    </row>
    <row r="37" spans="1:2" x14ac:dyDescent="0.3">
      <c r="A37" t="s">
        <v>95</v>
      </c>
      <c r="B37">
        <v>5.8037225039999996</v>
      </c>
    </row>
    <row r="38" spans="1:2" x14ac:dyDescent="0.3">
      <c r="A38" t="s">
        <v>96</v>
      </c>
      <c r="B38">
        <v>2.4566916449999998</v>
      </c>
    </row>
    <row r="39" spans="1:2" x14ac:dyDescent="0.3">
      <c r="A39" t="s">
        <v>97</v>
      </c>
      <c r="B39">
        <v>3.5616791559999998</v>
      </c>
    </row>
    <row r="40" spans="1:2" x14ac:dyDescent="0.3">
      <c r="A40" t="s">
        <v>98</v>
      </c>
      <c r="B40">
        <v>3.0717911529999999</v>
      </c>
    </row>
    <row r="41" spans="1:2" x14ac:dyDescent="0.3">
      <c r="A41" t="s">
        <v>99</v>
      </c>
      <c r="B41">
        <v>3.1016034160000001</v>
      </c>
    </row>
    <row r="42" spans="1:2" x14ac:dyDescent="0.3">
      <c r="A42" t="s">
        <v>100</v>
      </c>
      <c r="B42">
        <v>5.056159858</v>
      </c>
    </row>
    <row r="43" spans="1:2" x14ac:dyDescent="0.3">
      <c r="A43" t="s">
        <v>101</v>
      </c>
      <c r="B43">
        <v>5.8826847149999999</v>
      </c>
    </row>
    <row r="44" spans="1:2" x14ac:dyDescent="0.3">
      <c r="A44" t="s">
        <v>102</v>
      </c>
      <c r="B44">
        <v>2.9846104260000001</v>
      </c>
    </row>
    <row r="45" spans="1:2" x14ac:dyDescent="0.3">
      <c r="A45" t="s">
        <v>103</v>
      </c>
      <c r="B45">
        <v>1.1760535009999999</v>
      </c>
    </row>
    <row r="46" spans="1:2" x14ac:dyDescent="0.3">
      <c r="A46" t="s">
        <v>104</v>
      </c>
      <c r="B46">
        <v>2.2868423170000001</v>
      </c>
    </row>
    <row r="47" spans="1:2" x14ac:dyDescent="0.3">
      <c r="A47" t="s">
        <v>105</v>
      </c>
      <c r="B47">
        <v>3.2382563850000001</v>
      </c>
    </row>
    <row r="48" spans="1:2" x14ac:dyDescent="0.3">
      <c r="A48" t="s">
        <v>106</v>
      </c>
      <c r="B48">
        <v>2.8436064779999999</v>
      </c>
    </row>
    <row r="49" spans="1:2" x14ac:dyDescent="0.3">
      <c r="A49" t="s">
        <v>107</v>
      </c>
      <c r="B49">
        <v>4.7920393199999998</v>
      </c>
    </row>
    <row r="50" spans="1:2" x14ac:dyDescent="0.3">
      <c r="A50" t="s">
        <v>108</v>
      </c>
      <c r="B50">
        <v>2.0866972850000001</v>
      </c>
    </row>
    <row r="51" spans="1:2" x14ac:dyDescent="0.3">
      <c r="A51" t="s">
        <v>109</v>
      </c>
      <c r="B51">
        <v>2.5741680769999999</v>
      </c>
    </row>
    <row r="52" spans="1:2" x14ac:dyDescent="0.3">
      <c r="A52" t="s">
        <v>110</v>
      </c>
      <c r="B52">
        <v>4.8231407620000004</v>
      </c>
    </row>
    <row r="53" spans="1:2" x14ac:dyDescent="0.3">
      <c r="A53" t="s">
        <v>111</v>
      </c>
      <c r="B53">
        <v>3.0456852790000002</v>
      </c>
    </row>
    <row r="54" spans="1:2" x14ac:dyDescent="0.3">
      <c r="A54" t="s">
        <v>112</v>
      </c>
      <c r="B54">
        <v>3.1399564899999999</v>
      </c>
    </row>
    <row r="55" spans="1:2" x14ac:dyDescent="0.3">
      <c r="A55" t="s">
        <v>113</v>
      </c>
      <c r="B55">
        <v>2.8202401099999999</v>
      </c>
    </row>
    <row r="56" spans="1:2" x14ac:dyDescent="0.3">
      <c r="A56" t="s">
        <v>123</v>
      </c>
      <c r="B56">
        <v>1.1443074689999999</v>
      </c>
    </row>
    <row r="57" spans="1:2" x14ac:dyDescent="0.3">
      <c r="A57" t="s">
        <v>124</v>
      </c>
      <c r="B57">
        <v>1.4783659659999999</v>
      </c>
    </row>
    <row r="58" spans="1:2" x14ac:dyDescent="0.3">
      <c r="A58" t="s">
        <v>124</v>
      </c>
      <c r="B58">
        <v>2.408347434</v>
      </c>
    </row>
    <row r="59" spans="1:2" x14ac:dyDescent="0.3">
      <c r="A59" t="s">
        <v>125</v>
      </c>
      <c r="B59">
        <v>2.0454435580000001</v>
      </c>
    </row>
    <row r="60" spans="1:2" x14ac:dyDescent="0.3">
      <c r="A60" t="s">
        <v>126</v>
      </c>
      <c r="B60">
        <v>1.8477157360000001</v>
      </c>
    </row>
    <row r="61" spans="1:2" x14ac:dyDescent="0.3">
      <c r="A61" t="s">
        <v>127</v>
      </c>
      <c r="B61">
        <v>3.2285875430000002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9D9FE-0026-4261-AB59-67CA0FCAA701}">
  <dimension ref="A1:K43"/>
  <sheetViews>
    <sheetView topLeftCell="A21" workbookViewId="0">
      <selection activeCell="H32" sqref="H32:K37"/>
    </sheetView>
  </sheetViews>
  <sheetFormatPr defaultRowHeight="14.4" x14ac:dyDescent="0.3"/>
  <cols>
    <col min="1" max="1" width="13.44140625" bestFit="1" customWidth="1"/>
    <col min="2" max="2" width="5" bestFit="1" customWidth="1"/>
    <col min="3" max="3" width="12.21875" bestFit="1" customWidth="1"/>
    <col min="4" max="4" width="14.33203125" bestFit="1" customWidth="1"/>
    <col min="5" max="5" width="15.5546875" bestFit="1" customWidth="1"/>
    <col min="6" max="6" width="10.109375" bestFit="1" customWidth="1"/>
    <col min="7" max="7" width="9.33203125" bestFit="1" customWidth="1"/>
    <col min="8" max="9" width="9.88671875" bestFit="1" customWidth="1"/>
    <col min="10" max="10" width="11.21875" bestFit="1" customWidth="1"/>
    <col min="11" max="11" width="16.33203125" bestFit="1" customWidth="1"/>
  </cols>
  <sheetData>
    <row r="1" spans="1:11" x14ac:dyDescent="0.3">
      <c r="A1" s="1" t="s">
        <v>47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155</v>
      </c>
      <c r="I1" s="1" t="s">
        <v>156</v>
      </c>
      <c r="J1" s="1" t="s">
        <v>157</v>
      </c>
      <c r="K1" s="1" t="s">
        <v>158</v>
      </c>
    </row>
    <row r="2" spans="1:11" x14ac:dyDescent="0.3">
      <c r="A2" t="s">
        <v>48</v>
      </c>
      <c r="B2">
        <v>1</v>
      </c>
      <c r="C2">
        <v>64</v>
      </c>
      <c r="D2">
        <v>8</v>
      </c>
      <c r="E2">
        <v>512</v>
      </c>
      <c r="F2">
        <v>4</v>
      </c>
      <c r="G2">
        <v>1</v>
      </c>
      <c r="H2" t="s">
        <v>176</v>
      </c>
      <c r="I2" t="s">
        <v>176</v>
      </c>
      <c r="J2" t="s">
        <v>176</v>
      </c>
      <c r="K2" t="s">
        <v>176</v>
      </c>
    </row>
    <row r="3" spans="1:11" x14ac:dyDescent="0.3">
      <c r="A3" t="s">
        <v>49</v>
      </c>
      <c r="B3">
        <v>0</v>
      </c>
      <c r="C3">
        <v>32</v>
      </c>
      <c r="D3">
        <v>8</v>
      </c>
      <c r="E3">
        <v>512</v>
      </c>
      <c r="F3">
        <v>8</v>
      </c>
      <c r="G3">
        <v>1</v>
      </c>
      <c r="H3" t="s">
        <v>176</v>
      </c>
      <c r="I3" t="s">
        <v>176</v>
      </c>
      <c r="J3" t="s">
        <v>176</v>
      </c>
      <c r="K3" t="s">
        <v>176</v>
      </c>
    </row>
    <row r="4" spans="1:11" x14ac:dyDescent="0.3">
      <c r="A4" t="s">
        <v>50</v>
      </c>
      <c r="B4">
        <v>1</v>
      </c>
      <c r="C4">
        <v>32</v>
      </c>
      <c r="D4">
        <v>16</v>
      </c>
      <c r="E4">
        <v>1024</v>
      </c>
      <c r="F4">
        <v>8</v>
      </c>
      <c r="G4">
        <v>1</v>
      </c>
      <c r="H4" t="s">
        <v>176</v>
      </c>
      <c r="I4" t="s">
        <v>176</v>
      </c>
      <c r="J4" t="s">
        <v>176</v>
      </c>
      <c r="K4" t="s">
        <v>176</v>
      </c>
    </row>
    <row r="5" spans="1:11" x14ac:dyDescent="0.3">
      <c r="A5" t="s">
        <v>54</v>
      </c>
      <c r="B5">
        <v>0</v>
      </c>
      <c r="C5">
        <v>2</v>
      </c>
      <c r="D5">
        <v>1</v>
      </c>
      <c r="E5">
        <v>8</v>
      </c>
      <c r="F5">
        <v>4</v>
      </c>
      <c r="G5">
        <v>0.5</v>
      </c>
      <c r="H5" t="s">
        <v>176</v>
      </c>
      <c r="I5" t="s">
        <v>176</v>
      </c>
      <c r="J5" t="s">
        <v>176</v>
      </c>
      <c r="K5" t="s">
        <v>176</v>
      </c>
    </row>
    <row r="6" spans="1:11" x14ac:dyDescent="0.3">
      <c r="A6" t="s">
        <v>55</v>
      </c>
      <c r="B6">
        <v>0</v>
      </c>
      <c r="C6">
        <v>2</v>
      </c>
      <c r="D6">
        <v>2</v>
      </c>
      <c r="E6">
        <v>4</v>
      </c>
      <c r="F6">
        <v>0.5</v>
      </c>
      <c r="G6">
        <v>0.25</v>
      </c>
      <c r="H6" t="s">
        <v>176</v>
      </c>
      <c r="I6" t="s">
        <v>176</v>
      </c>
      <c r="J6" t="s">
        <v>176</v>
      </c>
      <c r="K6" t="s">
        <v>176</v>
      </c>
    </row>
    <row r="7" spans="1:11" x14ac:dyDescent="0.3">
      <c r="A7" t="s">
        <v>56</v>
      </c>
      <c r="B7">
        <v>0</v>
      </c>
      <c r="C7">
        <v>4</v>
      </c>
      <c r="D7">
        <v>2</v>
      </c>
      <c r="E7">
        <v>8</v>
      </c>
      <c r="F7">
        <v>2</v>
      </c>
      <c r="G7">
        <v>0.5</v>
      </c>
      <c r="H7" t="s">
        <v>176</v>
      </c>
      <c r="I7" t="s">
        <v>176</v>
      </c>
      <c r="J7" t="s">
        <v>176</v>
      </c>
      <c r="K7" t="s">
        <v>176</v>
      </c>
    </row>
    <row r="8" spans="1:11" x14ac:dyDescent="0.3">
      <c r="A8" t="s">
        <v>60</v>
      </c>
      <c r="B8">
        <v>1</v>
      </c>
      <c r="C8">
        <v>4</v>
      </c>
      <c r="D8">
        <v>4</v>
      </c>
      <c r="E8">
        <v>1024</v>
      </c>
      <c r="F8">
        <v>2</v>
      </c>
      <c r="G8">
        <v>0.5</v>
      </c>
      <c r="H8" t="s">
        <v>176</v>
      </c>
      <c r="I8" t="s">
        <v>176</v>
      </c>
      <c r="J8" t="s">
        <v>176</v>
      </c>
      <c r="K8" t="s">
        <v>176</v>
      </c>
    </row>
    <row r="9" spans="1:11" x14ac:dyDescent="0.3">
      <c r="A9" t="s">
        <v>61</v>
      </c>
      <c r="B9">
        <v>1</v>
      </c>
      <c r="C9">
        <v>16</v>
      </c>
      <c r="D9">
        <v>16</v>
      </c>
      <c r="E9">
        <v>1024</v>
      </c>
      <c r="F9">
        <v>8</v>
      </c>
      <c r="G9">
        <v>1</v>
      </c>
      <c r="H9" t="s">
        <v>176</v>
      </c>
      <c r="I9" t="s">
        <v>176</v>
      </c>
      <c r="J9" t="s">
        <v>176</v>
      </c>
      <c r="K9" t="s">
        <v>176</v>
      </c>
    </row>
    <row r="10" spans="1:11" x14ac:dyDescent="0.3">
      <c r="A10" t="s">
        <v>62</v>
      </c>
      <c r="B10">
        <v>1</v>
      </c>
      <c r="C10">
        <v>32</v>
      </c>
      <c r="D10">
        <v>16</v>
      </c>
      <c r="E10">
        <v>512</v>
      </c>
      <c r="F10">
        <v>8</v>
      </c>
      <c r="G10">
        <v>1</v>
      </c>
      <c r="H10" t="s">
        <v>176</v>
      </c>
      <c r="I10" t="s">
        <v>176</v>
      </c>
      <c r="J10" t="s">
        <v>176</v>
      </c>
      <c r="K10" t="s">
        <v>176</v>
      </c>
    </row>
    <row r="11" spans="1:11" x14ac:dyDescent="0.3">
      <c r="A11" t="s">
        <v>66</v>
      </c>
      <c r="B11">
        <v>0</v>
      </c>
      <c r="C11">
        <v>16</v>
      </c>
      <c r="D11">
        <v>8</v>
      </c>
      <c r="E11">
        <v>512</v>
      </c>
      <c r="F11">
        <v>4</v>
      </c>
      <c r="G11">
        <v>0.5</v>
      </c>
      <c r="H11" t="s">
        <v>176</v>
      </c>
      <c r="I11" t="s">
        <v>176</v>
      </c>
      <c r="J11" t="s">
        <v>176</v>
      </c>
      <c r="K11" t="s">
        <v>176</v>
      </c>
    </row>
    <row r="12" spans="1:11" x14ac:dyDescent="0.3">
      <c r="A12" t="s">
        <v>67</v>
      </c>
      <c r="B12">
        <v>0</v>
      </c>
      <c r="C12">
        <v>16</v>
      </c>
      <c r="D12">
        <v>8</v>
      </c>
      <c r="E12">
        <v>128</v>
      </c>
      <c r="F12">
        <v>4</v>
      </c>
      <c r="G12">
        <v>0.5</v>
      </c>
      <c r="H12" t="s">
        <v>176</v>
      </c>
      <c r="I12" t="s">
        <v>176</v>
      </c>
      <c r="J12" t="s">
        <v>176</v>
      </c>
      <c r="K12" t="s">
        <v>176</v>
      </c>
    </row>
    <row r="13" spans="1:11" x14ac:dyDescent="0.3">
      <c r="A13" t="s">
        <v>68</v>
      </c>
      <c r="B13">
        <v>0</v>
      </c>
      <c r="C13">
        <v>16</v>
      </c>
      <c r="D13">
        <v>8</v>
      </c>
      <c r="E13">
        <v>256</v>
      </c>
      <c r="F13">
        <v>4</v>
      </c>
      <c r="G13">
        <v>1</v>
      </c>
      <c r="H13" t="s">
        <v>176</v>
      </c>
      <c r="I13" t="s">
        <v>176</v>
      </c>
      <c r="J13" t="s">
        <v>176</v>
      </c>
      <c r="K13" t="s">
        <v>176</v>
      </c>
    </row>
    <row r="14" spans="1:11" x14ac:dyDescent="0.3">
      <c r="A14" t="s">
        <v>160</v>
      </c>
      <c r="B14">
        <v>1</v>
      </c>
      <c r="C14">
        <v>0.25</v>
      </c>
      <c r="D14">
        <v>0.5</v>
      </c>
      <c r="E14">
        <v>8</v>
      </c>
      <c r="F14">
        <v>0.5</v>
      </c>
      <c r="G14">
        <v>0.125</v>
      </c>
      <c r="H14" t="s">
        <v>176</v>
      </c>
      <c r="I14" t="s">
        <v>176</v>
      </c>
      <c r="J14" t="s">
        <v>176</v>
      </c>
      <c r="K14" t="s">
        <v>176</v>
      </c>
    </row>
    <row r="15" spans="1:11" x14ac:dyDescent="0.3">
      <c r="A15" t="s">
        <v>161</v>
      </c>
      <c r="B15">
        <v>0</v>
      </c>
      <c r="C15">
        <v>1</v>
      </c>
      <c r="D15">
        <v>0.5</v>
      </c>
      <c r="E15">
        <v>4</v>
      </c>
      <c r="F15">
        <v>0.5</v>
      </c>
      <c r="G15">
        <v>0.125</v>
      </c>
      <c r="H15" t="s">
        <v>176</v>
      </c>
      <c r="I15" t="s">
        <v>176</v>
      </c>
      <c r="J15" t="s">
        <v>176</v>
      </c>
      <c r="K15" t="s">
        <v>176</v>
      </c>
    </row>
    <row r="16" spans="1:11" x14ac:dyDescent="0.3">
      <c r="A16" t="s">
        <v>162</v>
      </c>
      <c r="B16">
        <v>0</v>
      </c>
      <c r="C16">
        <v>0.5</v>
      </c>
      <c r="D16">
        <v>0.5</v>
      </c>
      <c r="E16">
        <v>8</v>
      </c>
      <c r="F16">
        <v>0.5</v>
      </c>
      <c r="G16">
        <v>0.25</v>
      </c>
      <c r="H16" t="s">
        <v>176</v>
      </c>
      <c r="I16" t="s">
        <v>176</v>
      </c>
      <c r="J16" t="s">
        <v>176</v>
      </c>
      <c r="K16" t="s">
        <v>176</v>
      </c>
    </row>
    <row r="17" spans="1:11" x14ac:dyDescent="0.3">
      <c r="A17" t="s">
        <v>75</v>
      </c>
      <c r="B17">
        <v>0</v>
      </c>
      <c r="C17">
        <v>2</v>
      </c>
      <c r="D17">
        <v>1</v>
      </c>
      <c r="E17">
        <v>8</v>
      </c>
      <c r="F17">
        <v>0.5</v>
      </c>
      <c r="G17">
        <v>0.25</v>
      </c>
      <c r="H17" t="s">
        <v>176</v>
      </c>
      <c r="I17" t="s">
        <v>176</v>
      </c>
      <c r="J17" t="s">
        <v>176</v>
      </c>
      <c r="K17" t="s">
        <v>176</v>
      </c>
    </row>
    <row r="18" spans="1:11" x14ac:dyDescent="0.3">
      <c r="A18" t="s">
        <v>76</v>
      </c>
      <c r="B18">
        <v>0</v>
      </c>
      <c r="C18">
        <v>4</v>
      </c>
      <c r="D18">
        <v>2</v>
      </c>
      <c r="E18">
        <v>128</v>
      </c>
      <c r="F18">
        <v>1</v>
      </c>
      <c r="G18">
        <v>0.25</v>
      </c>
      <c r="H18" t="s">
        <v>176</v>
      </c>
      <c r="I18" t="s">
        <v>176</v>
      </c>
      <c r="J18" t="s">
        <v>176</v>
      </c>
      <c r="K18" t="s">
        <v>176</v>
      </c>
    </row>
    <row r="19" spans="1:11" x14ac:dyDescent="0.3">
      <c r="A19" t="s">
        <v>77</v>
      </c>
      <c r="B19">
        <v>0</v>
      </c>
      <c r="C19">
        <v>1</v>
      </c>
      <c r="D19">
        <v>1</v>
      </c>
      <c r="E19">
        <v>8</v>
      </c>
      <c r="F19">
        <v>0.5</v>
      </c>
      <c r="G19">
        <v>0.125</v>
      </c>
      <c r="H19" t="s">
        <v>176</v>
      </c>
      <c r="I19" t="s">
        <v>176</v>
      </c>
      <c r="J19" t="s">
        <v>176</v>
      </c>
      <c r="K19" t="s">
        <v>176</v>
      </c>
    </row>
    <row r="20" spans="1:11" x14ac:dyDescent="0.3">
      <c r="A20" t="s">
        <v>78</v>
      </c>
      <c r="B20">
        <v>1</v>
      </c>
      <c r="C20">
        <v>2</v>
      </c>
      <c r="D20">
        <v>1</v>
      </c>
      <c r="E20">
        <v>8</v>
      </c>
      <c r="F20">
        <v>4</v>
      </c>
      <c r="G20">
        <v>0.5</v>
      </c>
      <c r="H20" t="s">
        <v>176</v>
      </c>
      <c r="I20" t="s">
        <v>176</v>
      </c>
      <c r="J20" t="s">
        <v>176</v>
      </c>
      <c r="K20" t="s">
        <v>176</v>
      </c>
    </row>
    <row r="21" spans="1:11" x14ac:dyDescent="0.3">
      <c r="A21" t="s">
        <v>79</v>
      </c>
      <c r="B21">
        <v>1</v>
      </c>
      <c r="C21">
        <v>2</v>
      </c>
      <c r="D21">
        <v>2</v>
      </c>
      <c r="E21">
        <v>16</v>
      </c>
      <c r="F21">
        <v>4</v>
      </c>
      <c r="G21">
        <v>0.5</v>
      </c>
      <c r="H21" t="s">
        <v>176</v>
      </c>
      <c r="I21" t="s">
        <v>176</v>
      </c>
      <c r="J21" t="s">
        <v>176</v>
      </c>
      <c r="K21" t="s">
        <v>176</v>
      </c>
    </row>
    <row r="22" spans="1:11" x14ac:dyDescent="0.3">
      <c r="A22" t="s">
        <v>80</v>
      </c>
      <c r="B22">
        <v>1</v>
      </c>
      <c r="C22">
        <v>4</v>
      </c>
      <c r="D22">
        <v>2</v>
      </c>
      <c r="E22">
        <v>16</v>
      </c>
      <c r="F22">
        <v>4</v>
      </c>
      <c r="G22">
        <v>0.5</v>
      </c>
      <c r="H22" t="s">
        <v>176</v>
      </c>
      <c r="I22" t="s">
        <v>176</v>
      </c>
      <c r="J22" t="s">
        <v>176</v>
      </c>
      <c r="K22" t="s">
        <v>176</v>
      </c>
    </row>
    <row r="23" spans="1:11" x14ac:dyDescent="0.3">
      <c r="A23" t="s">
        <v>84</v>
      </c>
      <c r="B23">
        <v>0</v>
      </c>
      <c r="C23">
        <v>16</v>
      </c>
      <c r="D23">
        <v>4</v>
      </c>
      <c r="E23">
        <v>16</v>
      </c>
      <c r="F23">
        <v>4</v>
      </c>
      <c r="G23">
        <v>0.5</v>
      </c>
      <c r="H23" t="s">
        <v>176</v>
      </c>
      <c r="I23" t="s">
        <v>176</v>
      </c>
      <c r="J23" t="s">
        <v>176</v>
      </c>
      <c r="K23" t="s">
        <v>176</v>
      </c>
    </row>
    <row r="24" spans="1:11" x14ac:dyDescent="0.3">
      <c r="A24" t="s">
        <v>85</v>
      </c>
      <c r="B24">
        <v>0</v>
      </c>
      <c r="C24">
        <v>16</v>
      </c>
      <c r="D24">
        <v>8</v>
      </c>
      <c r="E24">
        <v>16</v>
      </c>
      <c r="F24">
        <v>8</v>
      </c>
      <c r="G24">
        <v>0.5</v>
      </c>
      <c r="H24" t="s">
        <v>176</v>
      </c>
      <c r="I24" t="s">
        <v>176</v>
      </c>
      <c r="J24" t="s">
        <v>176</v>
      </c>
      <c r="K24" t="s">
        <v>176</v>
      </c>
    </row>
    <row r="25" spans="1:11" x14ac:dyDescent="0.3">
      <c r="A25" t="s">
        <v>86</v>
      </c>
      <c r="B25">
        <v>0</v>
      </c>
      <c r="C25">
        <v>4</v>
      </c>
      <c r="D25">
        <v>1</v>
      </c>
      <c r="E25">
        <v>4</v>
      </c>
      <c r="F25">
        <v>2</v>
      </c>
      <c r="G25">
        <v>0.25</v>
      </c>
      <c r="H25" t="s">
        <v>176</v>
      </c>
      <c r="I25" t="s">
        <v>176</v>
      </c>
      <c r="J25" t="s">
        <v>176</v>
      </c>
      <c r="K25" t="s">
        <v>176</v>
      </c>
    </row>
    <row r="26" spans="1:11" x14ac:dyDescent="0.3">
      <c r="A26" t="s">
        <v>87</v>
      </c>
      <c r="B26">
        <v>1</v>
      </c>
      <c r="C26" t="s">
        <v>176</v>
      </c>
      <c r="D26" t="s">
        <v>176</v>
      </c>
      <c r="E26" t="s">
        <v>176</v>
      </c>
      <c r="F26" t="s">
        <v>176</v>
      </c>
      <c r="G26" t="s">
        <v>176</v>
      </c>
      <c r="H26">
        <v>4</v>
      </c>
      <c r="I26">
        <v>8</v>
      </c>
      <c r="J26">
        <v>16</v>
      </c>
      <c r="K26">
        <v>8</v>
      </c>
    </row>
    <row r="27" spans="1:11" x14ac:dyDescent="0.3">
      <c r="A27" t="s">
        <v>88</v>
      </c>
      <c r="B27">
        <v>1</v>
      </c>
      <c r="C27" t="s">
        <v>176</v>
      </c>
      <c r="D27" t="s">
        <v>176</v>
      </c>
      <c r="E27" t="s">
        <v>176</v>
      </c>
      <c r="F27" t="s">
        <v>176</v>
      </c>
      <c r="G27" t="s">
        <v>176</v>
      </c>
      <c r="H27">
        <v>8</v>
      </c>
      <c r="I27">
        <v>8</v>
      </c>
      <c r="J27">
        <v>8</v>
      </c>
      <c r="K27">
        <v>4</v>
      </c>
    </row>
    <row r="28" spans="1:11" x14ac:dyDescent="0.3">
      <c r="A28" t="s">
        <v>89</v>
      </c>
      <c r="B28">
        <v>1</v>
      </c>
      <c r="C28" t="s">
        <v>176</v>
      </c>
      <c r="D28" t="s">
        <v>176</v>
      </c>
      <c r="E28" t="s">
        <v>176</v>
      </c>
      <c r="F28" t="s">
        <v>176</v>
      </c>
      <c r="G28" t="s">
        <v>176</v>
      </c>
      <c r="H28">
        <v>4</v>
      </c>
      <c r="I28">
        <v>4</v>
      </c>
      <c r="J28">
        <v>4</v>
      </c>
      <c r="K28">
        <v>4</v>
      </c>
    </row>
    <row r="29" spans="1:11" x14ac:dyDescent="0.3">
      <c r="A29" t="s">
        <v>90</v>
      </c>
      <c r="B29">
        <v>0</v>
      </c>
      <c r="C29" t="s">
        <v>176</v>
      </c>
      <c r="D29" t="s">
        <v>176</v>
      </c>
      <c r="E29" t="s">
        <v>176</v>
      </c>
      <c r="F29" t="s">
        <v>176</v>
      </c>
      <c r="G29" t="s">
        <v>176</v>
      </c>
      <c r="H29">
        <v>4</v>
      </c>
      <c r="I29">
        <v>8</v>
      </c>
      <c r="J29">
        <v>1</v>
      </c>
      <c r="K29">
        <v>2</v>
      </c>
    </row>
    <row r="30" spans="1:11" x14ac:dyDescent="0.3">
      <c r="A30" t="s">
        <v>91</v>
      </c>
      <c r="B30">
        <v>0</v>
      </c>
      <c r="C30" t="s">
        <v>176</v>
      </c>
      <c r="D30" t="s">
        <v>176</v>
      </c>
      <c r="E30" t="s">
        <v>176</v>
      </c>
      <c r="F30" t="s">
        <v>176</v>
      </c>
      <c r="G30" t="s">
        <v>176</v>
      </c>
      <c r="H30">
        <v>4</v>
      </c>
      <c r="I30">
        <v>8</v>
      </c>
      <c r="J30">
        <v>1</v>
      </c>
      <c r="K30">
        <v>2</v>
      </c>
    </row>
    <row r="31" spans="1:11" x14ac:dyDescent="0.3">
      <c r="A31" t="s">
        <v>92</v>
      </c>
      <c r="B31">
        <v>0</v>
      </c>
      <c r="C31" t="s">
        <v>176</v>
      </c>
      <c r="D31" t="s">
        <v>176</v>
      </c>
      <c r="E31" t="s">
        <v>176</v>
      </c>
      <c r="F31" t="s">
        <v>176</v>
      </c>
      <c r="G31" t="s">
        <v>176</v>
      </c>
      <c r="H31">
        <v>8</v>
      </c>
      <c r="I31">
        <v>8</v>
      </c>
      <c r="J31">
        <v>1</v>
      </c>
      <c r="K31">
        <v>2</v>
      </c>
    </row>
    <row r="32" spans="1:11" x14ac:dyDescent="0.3">
      <c r="A32" t="s">
        <v>108</v>
      </c>
      <c r="B32">
        <v>1</v>
      </c>
      <c r="C32">
        <v>0.5</v>
      </c>
      <c r="D32">
        <v>1</v>
      </c>
      <c r="E32">
        <v>2</v>
      </c>
      <c r="F32">
        <v>4</v>
      </c>
      <c r="G32">
        <v>0.5</v>
      </c>
      <c r="H32" t="s">
        <v>176</v>
      </c>
      <c r="I32" t="s">
        <v>176</v>
      </c>
      <c r="J32" t="s">
        <v>176</v>
      </c>
      <c r="K32" t="s">
        <v>176</v>
      </c>
    </row>
    <row r="33" spans="1:11" x14ac:dyDescent="0.3">
      <c r="A33" t="s">
        <v>109</v>
      </c>
      <c r="B33">
        <v>1</v>
      </c>
      <c r="C33">
        <v>2</v>
      </c>
      <c r="D33">
        <v>1</v>
      </c>
      <c r="E33">
        <v>8</v>
      </c>
      <c r="F33">
        <v>8</v>
      </c>
      <c r="G33">
        <v>1</v>
      </c>
      <c r="H33" t="s">
        <v>176</v>
      </c>
      <c r="I33" t="s">
        <v>176</v>
      </c>
      <c r="J33" t="s">
        <v>176</v>
      </c>
      <c r="K33" t="s">
        <v>176</v>
      </c>
    </row>
    <row r="34" spans="1:11" x14ac:dyDescent="0.3">
      <c r="A34" t="s">
        <v>110</v>
      </c>
      <c r="B34">
        <v>0</v>
      </c>
      <c r="C34">
        <v>1</v>
      </c>
      <c r="D34">
        <v>2</v>
      </c>
      <c r="E34">
        <v>4</v>
      </c>
      <c r="F34">
        <v>8</v>
      </c>
      <c r="G34">
        <v>1</v>
      </c>
      <c r="H34" t="s">
        <v>176</v>
      </c>
      <c r="I34" t="s">
        <v>176</v>
      </c>
      <c r="J34" t="s">
        <v>176</v>
      </c>
      <c r="K34" t="s">
        <v>176</v>
      </c>
    </row>
    <row r="35" spans="1:11" x14ac:dyDescent="0.3">
      <c r="A35" t="s">
        <v>111</v>
      </c>
      <c r="B35">
        <v>0</v>
      </c>
      <c r="C35">
        <v>4</v>
      </c>
      <c r="D35">
        <v>2</v>
      </c>
      <c r="E35">
        <v>8</v>
      </c>
      <c r="F35">
        <v>2</v>
      </c>
      <c r="G35">
        <v>0.5</v>
      </c>
      <c r="H35" t="s">
        <v>176</v>
      </c>
      <c r="I35" t="s">
        <v>176</v>
      </c>
      <c r="J35" t="s">
        <v>176</v>
      </c>
      <c r="K35" t="s">
        <v>176</v>
      </c>
    </row>
    <row r="36" spans="1:11" x14ac:dyDescent="0.3">
      <c r="A36" t="s">
        <v>112</v>
      </c>
      <c r="B36">
        <v>0</v>
      </c>
      <c r="C36">
        <v>4</v>
      </c>
      <c r="D36">
        <v>1</v>
      </c>
      <c r="E36">
        <v>8</v>
      </c>
      <c r="F36">
        <v>2</v>
      </c>
      <c r="G36">
        <v>0.5</v>
      </c>
      <c r="H36" t="s">
        <v>176</v>
      </c>
      <c r="I36" t="s">
        <v>176</v>
      </c>
      <c r="J36" t="s">
        <v>176</v>
      </c>
      <c r="K36" t="s">
        <v>176</v>
      </c>
    </row>
    <row r="37" spans="1:11" x14ac:dyDescent="0.3">
      <c r="A37" t="s">
        <v>113</v>
      </c>
      <c r="B37">
        <v>0</v>
      </c>
      <c r="C37">
        <v>4</v>
      </c>
      <c r="D37">
        <v>1</v>
      </c>
      <c r="E37">
        <v>8</v>
      </c>
      <c r="F37">
        <v>2</v>
      </c>
      <c r="G37">
        <v>0.5</v>
      </c>
      <c r="H37" t="s">
        <v>176</v>
      </c>
      <c r="I37" t="s">
        <v>176</v>
      </c>
      <c r="J37" t="s">
        <v>176</v>
      </c>
      <c r="K37" t="s">
        <v>176</v>
      </c>
    </row>
    <row r="38" spans="1:11" x14ac:dyDescent="0.3">
      <c r="A38" t="s">
        <v>123</v>
      </c>
      <c r="B38">
        <v>1</v>
      </c>
      <c r="C38">
        <v>2</v>
      </c>
      <c r="D38">
        <v>1</v>
      </c>
      <c r="E38">
        <v>4</v>
      </c>
      <c r="F38">
        <v>1</v>
      </c>
      <c r="G38">
        <v>0.5</v>
      </c>
      <c r="H38">
        <v>2</v>
      </c>
      <c r="I38">
        <v>4</v>
      </c>
      <c r="J38">
        <v>1</v>
      </c>
      <c r="K38">
        <v>1</v>
      </c>
    </row>
    <row r="39" spans="1:11" x14ac:dyDescent="0.3">
      <c r="A39" t="s">
        <v>124</v>
      </c>
      <c r="B39">
        <v>0</v>
      </c>
      <c r="C39">
        <v>2</v>
      </c>
      <c r="D39">
        <v>1</v>
      </c>
      <c r="E39">
        <v>4</v>
      </c>
      <c r="F39">
        <v>1</v>
      </c>
      <c r="G39">
        <v>0.5</v>
      </c>
      <c r="H39">
        <v>2</v>
      </c>
      <c r="I39">
        <v>4</v>
      </c>
      <c r="J39">
        <v>1</v>
      </c>
      <c r="K39">
        <v>2</v>
      </c>
    </row>
    <row r="40" spans="1:11" x14ac:dyDescent="0.3">
      <c r="A40" t="s">
        <v>124</v>
      </c>
      <c r="B40">
        <v>1</v>
      </c>
      <c r="C40">
        <v>1</v>
      </c>
      <c r="D40">
        <v>1</v>
      </c>
      <c r="E40">
        <v>4</v>
      </c>
      <c r="F40">
        <v>1</v>
      </c>
      <c r="G40">
        <v>0.5</v>
      </c>
      <c r="H40">
        <v>2</v>
      </c>
      <c r="I40">
        <v>2</v>
      </c>
      <c r="J40">
        <v>1</v>
      </c>
      <c r="K40">
        <v>1</v>
      </c>
    </row>
    <row r="41" spans="1:11" x14ac:dyDescent="0.3">
      <c r="A41" t="s">
        <v>125</v>
      </c>
      <c r="B41">
        <v>0</v>
      </c>
      <c r="C41">
        <v>0.5</v>
      </c>
      <c r="D41">
        <v>1</v>
      </c>
      <c r="E41">
        <v>8</v>
      </c>
      <c r="F41">
        <v>1</v>
      </c>
      <c r="G41">
        <v>0.25</v>
      </c>
      <c r="H41">
        <v>2</v>
      </c>
      <c r="I41">
        <v>2</v>
      </c>
      <c r="J41">
        <v>1</v>
      </c>
      <c r="K41">
        <v>0.5</v>
      </c>
    </row>
    <row r="42" spans="1:11" x14ac:dyDescent="0.3">
      <c r="A42" t="s">
        <v>126</v>
      </c>
      <c r="B42">
        <v>0</v>
      </c>
      <c r="C42">
        <v>0.5</v>
      </c>
      <c r="D42">
        <v>2</v>
      </c>
      <c r="E42">
        <v>8</v>
      </c>
      <c r="F42">
        <v>0.5</v>
      </c>
      <c r="G42">
        <v>0.125</v>
      </c>
      <c r="H42">
        <v>2</v>
      </c>
      <c r="I42">
        <v>2</v>
      </c>
      <c r="J42">
        <v>0.5</v>
      </c>
      <c r="K42">
        <v>0.5</v>
      </c>
    </row>
    <row r="43" spans="1:11" x14ac:dyDescent="0.3">
      <c r="A43" t="s">
        <v>127</v>
      </c>
      <c r="B43">
        <v>0</v>
      </c>
      <c r="C43">
        <v>1</v>
      </c>
      <c r="D43">
        <v>1</v>
      </c>
      <c r="E43">
        <v>8</v>
      </c>
      <c r="F43">
        <v>1</v>
      </c>
      <c r="G43">
        <v>0.25</v>
      </c>
      <c r="H43">
        <v>2</v>
      </c>
      <c r="I43">
        <v>2</v>
      </c>
      <c r="J43">
        <v>0.5</v>
      </c>
      <c r="K43">
        <v>0.5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635EE-F3A9-409B-A2EA-67618451ACB8}">
  <dimension ref="A1:K43"/>
  <sheetViews>
    <sheetView topLeftCell="A18" workbookViewId="0">
      <selection activeCell="K37" sqref="H32:K37"/>
    </sheetView>
  </sheetViews>
  <sheetFormatPr defaultRowHeight="14.4" x14ac:dyDescent="0.3"/>
  <cols>
    <col min="1" max="1" width="14.109375" bestFit="1" customWidth="1"/>
    <col min="2" max="2" width="4.88671875" bestFit="1" customWidth="1"/>
    <col min="3" max="3" width="12.21875" bestFit="1" customWidth="1"/>
    <col min="4" max="4" width="14.33203125" bestFit="1" customWidth="1"/>
    <col min="5" max="5" width="15.5546875" bestFit="1" customWidth="1"/>
    <col min="6" max="6" width="10.109375" bestFit="1" customWidth="1"/>
    <col min="7" max="7" width="9.33203125" bestFit="1" customWidth="1"/>
    <col min="8" max="9" width="9.88671875" bestFit="1" customWidth="1"/>
    <col min="10" max="10" width="11.21875" bestFit="1" customWidth="1"/>
    <col min="11" max="11" width="16.33203125" bestFit="1" customWidth="1"/>
  </cols>
  <sheetData>
    <row r="1" spans="1:11" x14ac:dyDescent="0.3">
      <c r="A1" s="1" t="s">
        <v>47</v>
      </c>
      <c r="B1" s="1" t="s">
        <v>139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155</v>
      </c>
      <c r="I1" s="1" t="s">
        <v>156</v>
      </c>
      <c r="J1" s="1" t="s">
        <v>157</v>
      </c>
      <c r="K1" s="1" t="s">
        <v>158</v>
      </c>
    </row>
    <row r="2" spans="1:11" x14ac:dyDescent="0.3">
      <c r="A2" t="s">
        <v>48</v>
      </c>
      <c r="B2">
        <v>0</v>
      </c>
      <c r="C2">
        <v>64</v>
      </c>
      <c r="D2">
        <v>8</v>
      </c>
      <c r="E2">
        <v>512</v>
      </c>
      <c r="F2">
        <v>4</v>
      </c>
      <c r="G2">
        <v>1</v>
      </c>
      <c r="H2" t="s">
        <v>176</v>
      </c>
      <c r="I2" t="s">
        <v>176</v>
      </c>
      <c r="J2" t="s">
        <v>176</v>
      </c>
      <c r="K2" t="s">
        <v>176</v>
      </c>
    </row>
    <row r="3" spans="1:11" x14ac:dyDescent="0.3">
      <c r="A3" t="s">
        <v>49</v>
      </c>
      <c r="B3">
        <v>0</v>
      </c>
      <c r="C3">
        <v>32</v>
      </c>
      <c r="D3">
        <v>8</v>
      </c>
      <c r="E3">
        <v>512</v>
      </c>
      <c r="F3">
        <v>8</v>
      </c>
      <c r="G3">
        <v>1</v>
      </c>
      <c r="H3" t="s">
        <v>176</v>
      </c>
      <c r="I3" t="s">
        <v>176</v>
      </c>
      <c r="J3" t="s">
        <v>176</v>
      </c>
      <c r="K3" t="s">
        <v>176</v>
      </c>
    </row>
    <row r="4" spans="1:11" x14ac:dyDescent="0.3">
      <c r="A4" t="s">
        <v>50</v>
      </c>
      <c r="B4">
        <v>0</v>
      </c>
      <c r="C4">
        <v>32</v>
      </c>
      <c r="D4">
        <v>16</v>
      </c>
      <c r="E4">
        <v>1024</v>
      </c>
      <c r="F4">
        <v>8</v>
      </c>
      <c r="G4">
        <v>1</v>
      </c>
      <c r="H4" t="s">
        <v>176</v>
      </c>
      <c r="I4" t="s">
        <v>176</v>
      </c>
      <c r="J4" t="s">
        <v>176</v>
      </c>
      <c r="K4" t="s">
        <v>176</v>
      </c>
    </row>
    <row r="5" spans="1:11" x14ac:dyDescent="0.3">
      <c r="A5" t="s">
        <v>54</v>
      </c>
      <c r="B5">
        <v>0</v>
      </c>
      <c r="C5">
        <v>2</v>
      </c>
      <c r="D5">
        <v>1</v>
      </c>
      <c r="E5">
        <v>8</v>
      </c>
      <c r="F5">
        <v>4</v>
      </c>
      <c r="G5">
        <v>0.5</v>
      </c>
      <c r="H5" t="s">
        <v>176</v>
      </c>
      <c r="I5" t="s">
        <v>176</v>
      </c>
      <c r="J5" t="s">
        <v>176</v>
      </c>
      <c r="K5" t="s">
        <v>176</v>
      </c>
    </row>
    <row r="6" spans="1:11" x14ac:dyDescent="0.3">
      <c r="A6" t="s">
        <v>55</v>
      </c>
      <c r="B6">
        <v>0</v>
      </c>
      <c r="C6">
        <v>2</v>
      </c>
      <c r="D6">
        <v>2</v>
      </c>
      <c r="E6">
        <v>4</v>
      </c>
      <c r="F6">
        <v>0.5</v>
      </c>
      <c r="G6">
        <v>0.25</v>
      </c>
      <c r="H6" t="s">
        <v>176</v>
      </c>
      <c r="I6" t="s">
        <v>176</v>
      </c>
      <c r="J6" t="s">
        <v>176</v>
      </c>
      <c r="K6" t="s">
        <v>176</v>
      </c>
    </row>
    <row r="7" spans="1:11" x14ac:dyDescent="0.3">
      <c r="A7" t="s">
        <v>56</v>
      </c>
      <c r="B7">
        <v>1</v>
      </c>
      <c r="C7">
        <v>4</v>
      </c>
      <c r="D7">
        <v>2</v>
      </c>
      <c r="E7">
        <v>8</v>
      </c>
      <c r="F7">
        <v>2</v>
      </c>
      <c r="G7">
        <v>0.5</v>
      </c>
      <c r="H7" t="s">
        <v>176</v>
      </c>
      <c r="I7" t="s">
        <v>176</v>
      </c>
      <c r="J7" t="s">
        <v>176</v>
      </c>
      <c r="K7" t="s">
        <v>176</v>
      </c>
    </row>
    <row r="8" spans="1:11" x14ac:dyDescent="0.3">
      <c r="A8" t="s">
        <v>60</v>
      </c>
      <c r="B8">
        <v>0</v>
      </c>
      <c r="C8">
        <v>4</v>
      </c>
      <c r="D8">
        <v>4</v>
      </c>
      <c r="E8">
        <v>1024</v>
      </c>
      <c r="F8">
        <v>2</v>
      </c>
      <c r="G8">
        <v>0.5</v>
      </c>
      <c r="H8" t="s">
        <v>176</v>
      </c>
      <c r="I8" t="s">
        <v>176</v>
      </c>
      <c r="J8" t="s">
        <v>176</v>
      </c>
      <c r="K8" t="s">
        <v>176</v>
      </c>
    </row>
    <row r="9" spans="1:11" x14ac:dyDescent="0.3">
      <c r="A9" t="s">
        <v>61</v>
      </c>
      <c r="B9">
        <v>0</v>
      </c>
      <c r="C9">
        <v>16</v>
      </c>
      <c r="D9">
        <v>16</v>
      </c>
      <c r="E9">
        <v>1024</v>
      </c>
      <c r="F9">
        <v>8</v>
      </c>
      <c r="G9">
        <v>1</v>
      </c>
      <c r="H9" t="s">
        <v>176</v>
      </c>
      <c r="I9" t="s">
        <v>176</v>
      </c>
      <c r="J9" t="s">
        <v>176</v>
      </c>
      <c r="K9" t="s">
        <v>176</v>
      </c>
    </row>
    <row r="10" spans="1:11" x14ac:dyDescent="0.3">
      <c r="A10" t="s">
        <v>62</v>
      </c>
      <c r="B10">
        <v>0</v>
      </c>
      <c r="C10">
        <v>32</v>
      </c>
      <c r="D10">
        <v>16</v>
      </c>
      <c r="E10">
        <v>512</v>
      </c>
      <c r="F10">
        <v>8</v>
      </c>
      <c r="G10">
        <v>1</v>
      </c>
      <c r="H10" t="s">
        <v>176</v>
      </c>
      <c r="I10" t="s">
        <v>176</v>
      </c>
      <c r="J10" t="s">
        <v>176</v>
      </c>
      <c r="K10" t="s">
        <v>176</v>
      </c>
    </row>
    <row r="11" spans="1:11" x14ac:dyDescent="0.3">
      <c r="A11" t="s">
        <v>66</v>
      </c>
      <c r="B11">
        <v>1</v>
      </c>
      <c r="C11">
        <v>16</v>
      </c>
      <c r="D11">
        <v>8</v>
      </c>
      <c r="E11">
        <v>512</v>
      </c>
      <c r="F11">
        <v>4</v>
      </c>
      <c r="G11">
        <v>0.5</v>
      </c>
      <c r="H11" t="s">
        <v>176</v>
      </c>
      <c r="I11" t="s">
        <v>176</v>
      </c>
      <c r="J11" t="s">
        <v>176</v>
      </c>
      <c r="K11" t="s">
        <v>176</v>
      </c>
    </row>
    <row r="12" spans="1:11" x14ac:dyDescent="0.3">
      <c r="A12" t="s">
        <v>67</v>
      </c>
      <c r="B12">
        <v>1</v>
      </c>
      <c r="C12">
        <v>16</v>
      </c>
      <c r="D12">
        <v>8</v>
      </c>
      <c r="E12">
        <v>128</v>
      </c>
      <c r="F12">
        <v>4</v>
      </c>
      <c r="G12">
        <v>0.5</v>
      </c>
      <c r="H12" t="s">
        <v>176</v>
      </c>
      <c r="I12" t="s">
        <v>176</v>
      </c>
      <c r="J12" t="s">
        <v>176</v>
      </c>
      <c r="K12" t="s">
        <v>176</v>
      </c>
    </row>
    <row r="13" spans="1:11" x14ac:dyDescent="0.3">
      <c r="A13" t="s">
        <v>68</v>
      </c>
      <c r="B13">
        <v>1</v>
      </c>
      <c r="C13">
        <v>16</v>
      </c>
      <c r="D13">
        <v>8</v>
      </c>
      <c r="E13">
        <v>256</v>
      </c>
      <c r="F13">
        <v>4</v>
      </c>
      <c r="G13">
        <v>1</v>
      </c>
      <c r="H13" t="s">
        <v>176</v>
      </c>
      <c r="I13" t="s">
        <v>176</v>
      </c>
      <c r="J13" t="s">
        <v>176</v>
      </c>
      <c r="K13" t="s">
        <v>176</v>
      </c>
    </row>
    <row r="14" spans="1:11" x14ac:dyDescent="0.3">
      <c r="A14" t="s">
        <v>160</v>
      </c>
      <c r="B14">
        <v>0</v>
      </c>
      <c r="C14">
        <v>0.25</v>
      </c>
      <c r="D14">
        <v>0.5</v>
      </c>
      <c r="E14">
        <v>8</v>
      </c>
      <c r="F14">
        <v>0.5</v>
      </c>
      <c r="G14">
        <v>0.125</v>
      </c>
      <c r="H14" t="s">
        <v>176</v>
      </c>
      <c r="I14" t="s">
        <v>176</v>
      </c>
      <c r="J14" t="s">
        <v>176</v>
      </c>
      <c r="K14" t="s">
        <v>176</v>
      </c>
    </row>
    <row r="15" spans="1:11" x14ac:dyDescent="0.3">
      <c r="A15" t="s">
        <v>161</v>
      </c>
      <c r="B15">
        <v>0</v>
      </c>
      <c r="C15">
        <v>1</v>
      </c>
      <c r="D15">
        <v>0.5</v>
      </c>
      <c r="E15">
        <v>4</v>
      </c>
      <c r="F15">
        <v>0.5</v>
      </c>
      <c r="G15">
        <v>0.125</v>
      </c>
      <c r="H15" t="s">
        <v>176</v>
      </c>
      <c r="I15" t="s">
        <v>176</v>
      </c>
      <c r="J15" t="s">
        <v>176</v>
      </c>
      <c r="K15" t="s">
        <v>176</v>
      </c>
    </row>
    <row r="16" spans="1:11" x14ac:dyDescent="0.3">
      <c r="A16" t="s">
        <v>162</v>
      </c>
      <c r="B16">
        <v>0</v>
      </c>
      <c r="C16">
        <v>0.5</v>
      </c>
      <c r="D16">
        <v>0.5</v>
      </c>
      <c r="E16">
        <v>8</v>
      </c>
      <c r="F16">
        <v>0.5</v>
      </c>
      <c r="G16">
        <v>0.25</v>
      </c>
      <c r="H16" t="s">
        <v>176</v>
      </c>
      <c r="I16" t="s">
        <v>176</v>
      </c>
      <c r="J16" t="s">
        <v>176</v>
      </c>
      <c r="K16" t="s">
        <v>176</v>
      </c>
    </row>
    <row r="17" spans="1:11" x14ac:dyDescent="0.3">
      <c r="A17" t="s">
        <v>75</v>
      </c>
      <c r="B17">
        <v>1</v>
      </c>
      <c r="C17">
        <v>2</v>
      </c>
      <c r="D17">
        <v>1</v>
      </c>
      <c r="E17">
        <v>8</v>
      </c>
      <c r="F17">
        <v>0.5</v>
      </c>
      <c r="G17">
        <v>0.25</v>
      </c>
      <c r="H17" t="s">
        <v>176</v>
      </c>
      <c r="I17" t="s">
        <v>176</v>
      </c>
      <c r="J17" t="s">
        <v>176</v>
      </c>
      <c r="K17" t="s">
        <v>176</v>
      </c>
    </row>
    <row r="18" spans="1:11" x14ac:dyDescent="0.3">
      <c r="A18" t="s">
        <v>76</v>
      </c>
      <c r="B18">
        <v>1</v>
      </c>
      <c r="C18">
        <v>4</v>
      </c>
      <c r="D18">
        <v>2</v>
      </c>
      <c r="E18">
        <v>128</v>
      </c>
      <c r="F18">
        <v>1</v>
      </c>
      <c r="G18">
        <v>0.25</v>
      </c>
      <c r="H18" t="s">
        <v>176</v>
      </c>
      <c r="I18" t="s">
        <v>176</v>
      </c>
      <c r="J18" t="s">
        <v>176</v>
      </c>
      <c r="K18" t="s">
        <v>176</v>
      </c>
    </row>
    <row r="19" spans="1:11" x14ac:dyDescent="0.3">
      <c r="A19" t="s">
        <v>77</v>
      </c>
      <c r="B19">
        <v>1</v>
      </c>
      <c r="C19">
        <v>1</v>
      </c>
      <c r="D19">
        <v>1</v>
      </c>
      <c r="E19">
        <v>8</v>
      </c>
      <c r="F19">
        <v>0.5</v>
      </c>
      <c r="G19">
        <v>0.125</v>
      </c>
      <c r="H19" t="s">
        <v>176</v>
      </c>
      <c r="I19" t="s">
        <v>176</v>
      </c>
      <c r="J19" t="s">
        <v>176</v>
      </c>
      <c r="K19" t="s">
        <v>176</v>
      </c>
    </row>
    <row r="20" spans="1:11" x14ac:dyDescent="0.3">
      <c r="A20" t="s">
        <v>78</v>
      </c>
      <c r="B20">
        <v>0</v>
      </c>
      <c r="C20">
        <v>2</v>
      </c>
      <c r="D20">
        <v>1</v>
      </c>
      <c r="E20">
        <v>8</v>
      </c>
      <c r="F20">
        <v>4</v>
      </c>
      <c r="G20">
        <v>0.5</v>
      </c>
      <c r="H20" t="s">
        <v>176</v>
      </c>
      <c r="I20" t="s">
        <v>176</v>
      </c>
      <c r="J20" t="s">
        <v>176</v>
      </c>
      <c r="K20" t="s">
        <v>176</v>
      </c>
    </row>
    <row r="21" spans="1:11" x14ac:dyDescent="0.3">
      <c r="A21" t="s">
        <v>79</v>
      </c>
      <c r="B21">
        <v>0</v>
      </c>
      <c r="C21">
        <v>2</v>
      </c>
      <c r="D21">
        <v>2</v>
      </c>
      <c r="E21">
        <v>16</v>
      </c>
      <c r="F21">
        <v>4</v>
      </c>
      <c r="G21">
        <v>0.5</v>
      </c>
      <c r="H21" t="s">
        <v>176</v>
      </c>
      <c r="I21" t="s">
        <v>176</v>
      </c>
      <c r="J21" t="s">
        <v>176</v>
      </c>
      <c r="K21" t="s">
        <v>176</v>
      </c>
    </row>
    <row r="22" spans="1:11" x14ac:dyDescent="0.3">
      <c r="A22" t="s">
        <v>80</v>
      </c>
      <c r="B22">
        <v>0</v>
      </c>
      <c r="C22">
        <v>4</v>
      </c>
      <c r="D22">
        <v>2</v>
      </c>
      <c r="E22">
        <v>16</v>
      </c>
      <c r="F22">
        <v>4</v>
      </c>
      <c r="G22">
        <v>0.5</v>
      </c>
      <c r="H22" t="s">
        <v>176</v>
      </c>
      <c r="I22" t="s">
        <v>176</v>
      </c>
      <c r="J22" t="s">
        <v>176</v>
      </c>
      <c r="K22" t="s">
        <v>176</v>
      </c>
    </row>
    <row r="23" spans="1:11" x14ac:dyDescent="0.3">
      <c r="A23" t="s">
        <v>84</v>
      </c>
      <c r="B23">
        <v>1</v>
      </c>
      <c r="C23">
        <v>16</v>
      </c>
      <c r="D23">
        <v>4</v>
      </c>
      <c r="E23">
        <v>16</v>
      </c>
      <c r="F23">
        <v>4</v>
      </c>
      <c r="G23">
        <v>0.5</v>
      </c>
      <c r="H23" t="s">
        <v>176</v>
      </c>
      <c r="I23" t="s">
        <v>176</v>
      </c>
      <c r="J23" t="s">
        <v>176</v>
      </c>
      <c r="K23" t="s">
        <v>176</v>
      </c>
    </row>
    <row r="24" spans="1:11" x14ac:dyDescent="0.3">
      <c r="A24" t="s">
        <v>85</v>
      </c>
      <c r="B24">
        <v>1</v>
      </c>
      <c r="C24">
        <v>16</v>
      </c>
      <c r="D24">
        <v>8</v>
      </c>
      <c r="E24">
        <v>16</v>
      </c>
      <c r="F24">
        <v>8</v>
      </c>
      <c r="G24">
        <v>0.5</v>
      </c>
      <c r="H24" t="s">
        <v>176</v>
      </c>
      <c r="I24" t="s">
        <v>176</v>
      </c>
      <c r="J24" t="s">
        <v>176</v>
      </c>
      <c r="K24" t="s">
        <v>176</v>
      </c>
    </row>
    <row r="25" spans="1:11" x14ac:dyDescent="0.3">
      <c r="A25" t="s">
        <v>86</v>
      </c>
      <c r="B25">
        <v>1</v>
      </c>
      <c r="C25">
        <v>4</v>
      </c>
      <c r="D25">
        <v>1</v>
      </c>
      <c r="E25">
        <v>4</v>
      </c>
      <c r="F25">
        <v>2</v>
      </c>
      <c r="G25">
        <v>0.25</v>
      </c>
      <c r="H25" t="s">
        <v>176</v>
      </c>
      <c r="I25" t="s">
        <v>176</v>
      </c>
      <c r="J25" t="s">
        <v>176</v>
      </c>
      <c r="K25" t="s">
        <v>176</v>
      </c>
    </row>
    <row r="26" spans="1:11" x14ac:dyDescent="0.3">
      <c r="A26" t="s">
        <v>87</v>
      </c>
      <c r="B26">
        <v>0</v>
      </c>
      <c r="C26" t="s">
        <v>176</v>
      </c>
      <c r="D26" t="s">
        <v>176</v>
      </c>
      <c r="E26" t="s">
        <v>176</v>
      </c>
      <c r="F26" t="s">
        <v>176</v>
      </c>
      <c r="G26" t="s">
        <v>176</v>
      </c>
      <c r="H26">
        <v>4</v>
      </c>
      <c r="I26">
        <v>8</v>
      </c>
      <c r="J26">
        <v>16</v>
      </c>
      <c r="K26">
        <v>8</v>
      </c>
    </row>
    <row r="27" spans="1:11" x14ac:dyDescent="0.3">
      <c r="A27" t="s">
        <v>88</v>
      </c>
      <c r="B27">
        <v>0</v>
      </c>
      <c r="C27" t="s">
        <v>176</v>
      </c>
      <c r="D27" t="s">
        <v>176</v>
      </c>
      <c r="E27" t="s">
        <v>176</v>
      </c>
      <c r="F27" t="s">
        <v>176</v>
      </c>
      <c r="G27" t="s">
        <v>176</v>
      </c>
      <c r="H27">
        <v>8</v>
      </c>
      <c r="I27">
        <v>8</v>
      </c>
      <c r="J27">
        <v>8</v>
      </c>
      <c r="K27">
        <v>4</v>
      </c>
    </row>
    <row r="28" spans="1:11" x14ac:dyDescent="0.3">
      <c r="A28" t="s">
        <v>89</v>
      </c>
      <c r="B28">
        <v>0</v>
      </c>
      <c r="C28" t="s">
        <v>176</v>
      </c>
      <c r="D28" t="s">
        <v>176</v>
      </c>
      <c r="E28" t="s">
        <v>176</v>
      </c>
      <c r="F28" t="s">
        <v>176</v>
      </c>
      <c r="G28" t="s">
        <v>176</v>
      </c>
      <c r="H28">
        <v>4</v>
      </c>
      <c r="I28">
        <v>4</v>
      </c>
      <c r="J28">
        <v>4</v>
      </c>
      <c r="K28">
        <v>4</v>
      </c>
    </row>
    <row r="29" spans="1:11" x14ac:dyDescent="0.3">
      <c r="A29" t="s">
        <v>90</v>
      </c>
      <c r="B29">
        <v>1</v>
      </c>
      <c r="C29" t="s">
        <v>176</v>
      </c>
      <c r="D29" t="s">
        <v>176</v>
      </c>
      <c r="E29" t="s">
        <v>176</v>
      </c>
      <c r="F29" t="s">
        <v>176</v>
      </c>
      <c r="G29" t="s">
        <v>176</v>
      </c>
      <c r="H29">
        <v>4</v>
      </c>
      <c r="I29">
        <v>8</v>
      </c>
      <c r="J29">
        <v>1</v>
      </c>
      <c r="K29">
        <v>2</v>
      </c>
    </row>
    <row r="30" spans="1:11" x14ac:dyDescent="0.3">
      <c r="A30" t="s">
        <v>91</v>
      </c>
      <c r="B30">
        <v>1</v>
      </c>
      <c r="C30" t="s">
        <v>176</v>
      </c>
      <c r="D30" t="s">
        <v>176</v>
      </c>
      <c r="E30" t="s">
        <v>176</v>
      </c>
      <c r="F30" t="s">
        <v>176</v>
      </c>
      <c r="G30" t="s">
        <v>176</v>
      </c>
      <c r="H30">
        <v>4</v>
      </c>
      <c r="I30">
        <v>8</v>
      </c>
      <c r="J30">
        <v>1</v>
      </c>
      <c r="K30">
        <v>2</v>
      </c>
    </row>
    <row r="31" spans="1:11" x14ac:dyDescent="0.3">
      <c r="A31" t="s">
        <v>92</v>
      </c>
      <c r="B31">
        <v>1</v>
      </c>
      <c r="C31" t="s">
        <v>176</v>
      </c>
      <c r="D31" t="s">
        <v>176</v>
      </c>
      <c r="E31" t="s">
        <v>176</v>
      </c>
      <c r="F31" t="s">
        <v>176</v>
      </c>
      <c r="G31" t="s">
        <v>176</v>
      </c>
      <c r="H31">
        <v>8</v>
      </c>
      <c r="I31">
        <v>8</v>
      </c>
      <c r="J31">
        <v>1</v>
      </c>
      <c r="K31">
        <v>2</v>
      </c>
    </row>
    <row r="32" spans="1:11" x14ac:dyDescent="0.3">
      <c r="A32" t="s">
        <v>108</v>
      </c>
      <c r="B32">
        <v>0</v>
      </c>
      <c r="C32">
        <v>0.5</v>
      </c>
      <c r="D32">
        <v>1</v>
      </c>
      <c r="E32">
        <v>2</v>
      </c>
      <c r="F32">
        <v>4</v>
      </c>
      <c r="G32">
        <v>0.5</v>
      </c>
      <c r="H32" t="s">
        <v>176</v>
      </c>
      <c r="I32" t="s">
        <v>176</v>
      </c>
      <c r="J32" t="s">
        <v>176</v>
      </c>
      <c r="K32" t="s">
        <v>176</v>
      </c>
    </row>
    <row r="33" spans="1:11" x14ac:dyDescent="0.3">
      <c r="A33" t="s">
        <v>109</v>
      </c>
      <c r="B33">
        <v>0</v>
      </c>
      <c r="C33">
        <v>2</v>
      </c>
      <c r="D33">
        <v>1</v>
      </c>
      <c r="E33">
        <v>8</v>
      </c>
      <c r="F33">
        <v>8</v>
      </c>
      <c r="G33">
        <v>1</v>
      </c>
      <c r="H33" t="s">
        <v>176</v>
      </c>
      <c r="I33" t="s">
        <v>176</v>
      </c>
      <c r="J33" t="s">
        <v>176</v>
      </c>
      <c r="K33" t="s">
        <v>176</v>
      </c>
    </row>
    <row r="34" spans="1:11" x14ac:dyDescent="0.3">
      <c r="A34" t="s">
        <v>110</v>
      </c>
      <c r="B34">
        <v>0</v>
      </c>
      <c r="C34">
        <v>1</v>
      </c>
      <c r="D34">
        <v>2</v>
      </c>
      <c r="E34">
        <v>4</v>
      </c>
      <c r="F34">
        <v>8</v>
      </c>
      <c r="G34">
        <v>1</v>
      </c>
      <c r="H34" t="s">
        <v>176</v>
      </c>
      <c r="I34" t="s">
        <v>176</v>
      </c>
      <c r="J34" t="s">
        <v>176</v>
      </c>
      <c r="K34" t="s">
        <v>176</v>
      </c>
    </row>
    <row r="35" spans="1:11" x14ac:dyDescent="0.3">
      <c r="A35" t="s">
        <v>111</v>
      </c>
      <c r="B35">
        <v>1</v>
      </c>
      <c r="C35">
        <v>4</v>
      </c>
      <c r="D35">
        <v>2</v>
      </c>
      <c r="E35">
        <v>8</v>
      </c>
      <c r="F35">
        <v>2</v>
      </c>
      <c r="G35">
        <v>0.5</v>
      </c>
      <c r="H35" t="s">
        <v>176</v>
      </c>
      <c r="I35" t="s">
        <v>176</v>
      </c>
      <c r="J35" t="s">
        <v>176</v>
      </c>
      <c r="K35" t="s">
        <v>176</v>
      </c>
    </row>
    <row r="36" spans="1:11" x14ac:dyDescent="0.3">
      <c r="A36" t="s">
        <v>112</v>
      </c>
      <c r="B36">
        <v>1</v>
      </c>
      <c r="C36">
        <v>4</v>
      </c>
      <c r="D36">
        <v>1</v>
      </c>
      <c r="E36">
        <v>8</v>
      </c>
      <c r="F36">
        <v>2</v>
      </c>
      <c r="G36">
        <v>0.5</v>
      </c>
      <c r="H36" t="s">
        <v>176</v>
      </c>
      <c r="I36" t="s">
        <v>176</v>
      </c>
      <c r="J36" t="s">
        <v>176</v>
      </c>
      <c r="K36" t="s">
        <v>176</v>
      </c>
    </row>
    <row r="37" spans="1:11" x14ac:dyDescent="0.3">
      <c r="A37" t="s">
        <v>113</v>
      </c>
      <c r="B37">
        <v>1</v>
      </c>
      <c r="C37">
        <v>4</v>
      </c>
      <c r="D37">
        <v>1</v>
      </c>
      <c r="E37">
        <v>8</v>
      </c>
      <c r="F37">
        <v>2</v>
      </c>
      <c r="G37">
        <v>0.5</v>
      </c>
      <c r="H37" t="s">
        <v>176</v>
      </c>
      <c r="I37" t="s">
        <v>176</v>
      </c>
      <c r="J37" t="s">
        <v>176</v>
      </c>
      <c r="K37" t="s">
        <v>176</v>
      </c>
    </row>
    <row r="38" spans="1:11" x14ac:dyDescent="0.3">
      <c r="A38" t="s">
        <v>123</v>
      </c>
      <c r="B38">
        <v>0</v>
      </c>
      <c r="C38">
        <v>2</v>
      </c>
      <c r="D38">
        <v>1</v>
      </c>
      <c r="E38">
        <v>4</v>
      </c>
      <c r="F38">
        <v>1</v>
      </c>
      <c r="G38">
        <v>0.5</v>
      </c>
      <c r="H38">
        <v>2</v>
      </c>
      <c r="I38">
        <v>4</v>
      </c>
      <c r="J38">
        <v>1</v>
      </c>
      <c r="K38">
        <v>1</v>
      </c>
    </row>
    <row r="39" spans="1:11" x14ac:dyDescent="0.3">
      <c r="A39" t="s">
        <v>124</v>
      </c>
      <c r="B39">
        <v>0</v>
      </c>
      <c r="C39">
        <v>2</v>
      </c>
      <c r="D39">
        <v>1</v>
      </c>
      <c r="E39">
        <v>4</v>
      </c>
      <c r="F39">
        <v>1</v>
      </c>
      <c r="G39">
        <v>0.5</v>
      </c>
      <c r="H39">
        <v>2</v>
      </c>
      <c r="I39">
        <v>4</v>
      </c>
      <c r="J39">
        <v>1</v>
      </c>
      <c r="K39">
        <v>2</v>
      </c>
    </row>
    <row r="40" spans="1:11" x14ac:dyDescent="0.3">
      <c r="A40" t="s">
        <v>124</v>
      </c>
      <c r="B40">
        <v>0</v>
      </c>
      <c r="C40">
        <v>1</v>
      </c>
      <c r="D40">
        <v>1</v>
      </c>
      <c r="E40">
        <v>4</v>
      </c>
      <c r="F40">
        <v>1</v>
      </c>
      <c r="G40">
        <v>0.5</v>
      </c>
      <c r="H40">
        <v>2</v>
      </c>
      <c r="I40">
        <v>2</v>
      </c>
      <c r="J40">
        <v>1</v>
      </c>
      <c r="K40">
        <v>1</v>
      </c>
    </row>
    <row r="41" spans="1:11" x14ac:dyDescent="0.3">
      <c r="A41" t="s">
        <v>125</v>
      </c>
      <c r="B41">
        <v>1</v>
      </c>
      <c r="C41">
        <v>0.5</v>
      </c>
      <c r="D41">
        <v>1</v>
      </c>
      <c r="E41">
        <v>8</v>
      </c>
      <c r="F41">
        <v>1</v>
      </c>
      <c r="G41">
        <v>0.25</v>
      </c>
      <c r="H41">
        <v>2</v>
      </c>
      <c r="I41">
        <v>2</v>
      </c>
      <c r="J41">
        <v>1</v>
      </c>
      <c r="K41">
        <v>0.5</v>
      </c>
    </row>
    <row r="42" spans="1:11" x14ac:dyDescent="0.3">
      <c r="A42" t="s">
        <v>126</v>
      </c>
      <c r="B42">
        <v>1</v>
      </c>
      <c r="C42">
        <v>0.5</v>
      </c>
      <c r="D42">
        <v>2</v>
      </c>
      <c r="E42">
        <v>8</v>
      </c>
      <c r="F42">
        <v>0.5</v>
      </c>
      <c r="G42">
        <v>0.125</v>
      </c>
      <c r="H42">
        <v>2</v>
      </c>
      <c r="I42">
        <v>2</v>
      </c>
      <c r="J42">
        <v>0.5</v>
      </c>
      <c r="K42">
        <v>0.5</v>
      </c>
    </row>
    <row r="43" spans="1:11" x14ac:dyDescent="0.3">
      <c r="A43" t="s">
        <v>127</v>
      </c>
      <c r="B43">
        <v>0</v>
      </c>
      <c r="C43">
        <v>1</v>
      </c>
      <c r="D43">
        <v>1</v>
      </c>
      <c r="E43">
        <v>8</v>
      </c>
      <c r="F43">
        <v>1</v>
      </c>
      <c r="G43">
        <v>0.25</v>
      </c>
      <c r="H43">
        <v>2</v>
      </c>
      <c r="I43">
        <v>2</v>
      </c>
      <c r="J43">
        <v>0.5</v>
      </c>
      <c r="K43">
        <v>0.5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ECBE3-ED24-4944-AAFA-9092EAF1B48E}">
  <dimension ref="A1:K43"/>
  <sheetViews>
    <sheetView topLeftCell="A21" workbookViewId="0">
      <selection activeCell="K37" sqref="H32:K37"/>
    </sheetView>
  </sheetViews>
  <sheetFormatPr defaultRowHeight="14.4" x14ac:dyDescent="0.3"/>
  <cols>
    <col min="1" max="1" width="14.109375" bestFit="1" customWidth="1"/>
    <col min="2" max="2" width="4.6640625" bestFit="1" customWidth="1"/>
    <col min="3" max="3" width="12.21875" bestFit="1" customWidth="1"/>
    <col min="4" max="4" width="14.33203125" bestFit="1" customWidth="1"/>
    <col min="5" max="5" width="15.5546875" bestFit="1" customWidth="1"/>
    <col min="6" max="6" width="10.109375" bestFit="1" customWidth="1"/>
    <col min="7" max="7" width="9.33203125" bestFit="1" customWidth="1"/>
    <col min="8" max="9" width="9.88671875" bestFit="1" customWidth="1"/>
    <col min="10" max="10" width="11.21875" bestFit="1" customWidth="1"/>
    <col min="11" max="11" width="16.33203125" bestFit="1" customWidth="1"/>
  </cols>
  <sheetData>
    <row r="1" spans="1:11" x14ac:dyDescent="0.3">
      <c r="A1" s="1" t="s">
        <v>47</v>
      </c>
      <c r="B1" s="1" t="s">
        <v>138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155</v>
      </c>
      <c r="I1" s="1" t="s">
        <v>156</v>
      </c>
      <c r="J1" s="1" t="s">
        <v>157</v>
      </c>
      <c r="K1" s="1" t="s">
        <v>158</v>
      </c>
    </row>
    <row r="2" spans="1:11" x14ac:dyDescent="0.3">
      <c r="A2" t="s">
        <v>48</v>
      </c>
      <c r="B2">
        <v>1</v>
      </c>
      <c r="C2">
        <v>64</v>
      </c>
      <c r="D2">
        <v>8</v>
      </c>
      <c r="E2">
        <v>512</v>
      </c>
      <c r="F2">
        <v>4</v>
      </c>
      <c r="G2">
        <v>1</v>
      </c>
      <c r="H2" t="s">
        <v>176</v>
      </c>
      <c r="I2" t="s">
        <v>176</v>
      </c>
      <c r="J2" t="s">
        <v>176</v>
      </c>
      <c r="K2" t="s">
        <v>176</v>
      </c>
    </row>
    <row r="3" spans="1:11" x14ac:dyDescent="0.3">
      <c r="A3" t="s">
        <v>49</v>
      </c>
      <c r="B3">
        <v>0</v>
      </c>
      <c r="C3">
        <v>32</v>
      </c>
      <c r="D3">
        <v>8</v>
      </c>
      <c r="E3">
        <v>512</v>
      </c>
      <c r="F3">
        <v>8</v>
      </c>
      <c r="G3">
        <v>1</v>
      </c>
      <c r="H3" t="s">
        <v>176</v>
      </c>
      <c r="I3" t="s">
        <v>176</v>
      </c>
      <c r="J3" t="s">
        <v>176</v>
      </c>
      <c r="K3" t="s">
        <v>176</v>
      </c>
    </row>
    <row r="4" spans="1:11" x14ac:dyDescent="0.3">
      <c r="A4" t="s">
        <v>50</v>
      </c>
      <c r="B4">
        <v>1</v>
      </c>
      <c r="C4">
        <v>32</v>
      </c>
      <c r="D4">
        <v>16</v>
      </c>
      <c r="E4">
        <v>1024</v>
      </c>
      <c r="F4">
        <v>8</v>
      </c>
      <c r="G4">
        <v>1</v>
      </c>
      <c r="H4" t="s">
        <v>176</v>
      </c>
      <c r="I4" t="s">
        <v>176</v>
      </c>
      <c r="J4" t="s">
        <v>176</v>
      </c>
      <c r="K4" t="s">
        <v>176</v>
      </c>
    </row>
    <row r="5" spans="1:11" x14ac:dyDescent="0.3">
      <c r="A5" t="s">
        <v>54</v>
      </c>
      <c r="B5">
        <v>1</v>
      </c>
      <c r="C5">
        <v>2</v>
      </c>
      <c r="D5">
        <v>1</v>
      </c>
      <c r="E5">
        <v>8</v>
      </c>
      <c r="F5">
        <v>4</v>
      </c>
      <c r="G5">
        <v>0.5</v>
      </c>
      <c r="H5" t="s">
        <v>176</v>
      </c>
      <c r="I5" t="s">
        <v>176</v>
      </c>
      <c r="J5" t="s">
        <v>176</v>
      </c>
      <c r="K5" t="s">
        <v>176</v>
      </c>
    </row>
    <row r="6" spans="1:11" x14ac:dyDescent="0.3">
      <c r="A6" t="s">
        <v>55</v>
      </c>
      <c r="B6">
        <v>1</v>
      </c>
      <c r="C6">
        <v>2</v>
      </c>
      <c r="D6">
        <v>2</v>
      </c>
      <c r="E6">
        <v>4</v>
      </c>
      <c r="F6">
        <v>0.5</v>
      </c>
      <c r="G6">
        <v>0.25</v>
      </c>
      <c r="H6" t="s">
        <v>176</v>
      </c>
      <c r="I6" t="s">
        <v>176</v>
      </c>
      <c r="J6" t="s">
        <v>176</v>
      </c>
      <c r="K6" t="s">
        <v>176</v>
      </c>
    </row>
    <row r="7" spans="1:11" x14ac:dyDescent="0.3">
      <c r="A7" t="s">
        <v>56</v>
      </c>
      <c r="B7">
        <v>1</v>
      </c>
      <c r="C7">
        <v>4</v>
      </c>
      <c r="D7">
        <v>2</v>
      </c>
      <c r="E7">
        <v>8</v>
      </c>
      <c r="F7">
        <v>2</v>
      </c>
      <c r="G7">
        <v>0.5</v>
      </c>
      <c r="H7" t="s">
        <v>176</v>
      </c>
      <c r="I7" t="s">
        <v>176</v>
      </c>
      <c r="J7" t="s">
        <v>176</v>
      </c>
      <c r="K7" t="s">
        <v>176</v>
      </c>
    </row>
    <row r="8" spans="1:11" x14ac:dyDescent="0.3">
      <c r="A8" t="s">
        <v>60</v>
      </c>
      <c r="B8">
        <v>0</v>
      </c>
      <c r="C8">
        <v>4</v>
      </c>
      <c r="D8">
        <v>4</v>
      </c>
      <c r="E8">
        <v>1024</v>
      </c>
      <c r="F8">
        <v>2</v>
      </c>
      <c r="G8">
        <v>0.5</v>
      </c>
      <c r="H8" t="s">
        <v>176</v>
      </c>
      <c r="I8" t="s">
        <v>176</v>
      </c>
      <c r="J8" t="s">
        <v>176</v>
      </c>
      <c r="K8" t="s">
        <v>176</v>
      </c>
    </row>
    <row r="9" spans="1:11" x14ac:dyDescent="0.3">
      <c r="A9" t="s">
        <v>61</v>
      </c>
      <c r="B9">
        <v>0</v>
      </c>
      <c r="C9">
        <v>16</v>
      </c>
      <c r="D9">
        <v>16</v>
      </c>
      <c r="E9">
        <v>1024</v>
      </c>
      <c r="F9">
        <v>8</v>
      </c>
      <c r="G9">
        <v>1</v>
      </c>
      <c r="H9" t="s">
        <v>176</v>
      </c>
      <c r="I9" t="s">
        <v>176</v>
      </c>
      <c r="J9" t="s">
        <v>176</v>
      </c>
      <c r="K9" t="s">
        <v>176</v>
      </c>
    </row>
    <row r="10" spans="1:11" x14ac:dyDescent="0.3">
      <c r="A10" t="s">
        <v>62</v>
      </c>
      <c r="B10">
        <v>0</v>
      </c>
      <c r="C10">
        <v>32</v>
      </c>
      <c r="D10">
        <v>16</v>
      </c>
      <c r="E10">
        <v>512</v>
      </c>
      <c r="F10">
        <v>8</v>
      </c>
      <c r="G10">
        <v>1</v>
      </c>
      <c r="H10" t="s">
        <v>176</v>
      </c>
      <c r="I10" t="s">
        <v>176</v>
      </c>
      <c r="J10" t="s">
        <v>176</v>
      </c>
      <c r="K10" t="s">
        <v>176</v>
      </c>
    </row>
    <row r="11" spans="1:11" x14ac:dyDescent="0.3">
      <c r="A11" t="s">
        <v>66</v>
      </c>
      <c r="B11">
        <v>1</v>
      </c>
      <c r="C11">
        <v>16</v>
      </c>
      <c r="D11">
        <v>8</v>
      </c>
      <c r="E11">
        <v>512</v>
      </c>
      <c r="F11">
        <v>4</v>
      </c>
      <c r="G11">
        <v>0.5</v>
      </c>
      <c r="H11" t="s">
        <v>176</v>
      </c>
      <c r="I11" t="s">
        <v>176</v>
      </c>
      <c r="J11" t="s">
        <v>176</v>
      </c>
      <c r="K11" t="s">
        <v>176</v>
      </c>
    </row>
    <row r="12" spans="1:11" x14ac:dyDescent="0.3">
      <c r="A12" t="s">
        <v>67</v>
      </c>
      <c r="B12">
        <v>1</v>
      </c>
      <c r="C12">
        <v>16</v>
      </c>
      <c r="D12">
        <v>8</v>
      </c>
      <c r="E12">
        <v>128</v>
      </c>
      <c r="F12">
        <v>4</v>
      </c>
      <c r="G12">
        <v>0.5</v>
      </c>
      <c r="H12" t="s">
        <v>176</v>
      </c>
      <c r="I12" t="s">
        <v>176</v>
      </c>
      <c r="J12" t="s">
        <v>176</v>
      </c>
      <c r="K12" t="s">
        <v>176</v>
      </c>
    </row>
    <row r="13" spans="1:11" x14ac:dyDescent="0.3">
      <c r="A13" t="s">
        <v>68</v>
      </c>
      <c r="B13">
        <v>1</v>
      </c>
      <c r="C13">
        <v>16</v>
      </c>
      <c r="D13">
        <v>8</v>
      </c>
      <c r="E13">
        <v>256</v>
      </c>
      <c r="F13">
        <v>4</v>
      </c>
      <c r="G13">
        <v>1</v>
      </c>
      <c r="H13" t="s">
        <v>176</v>
      </c>
      <c r="I13" t="s">
        <v>176</v>
      </c>
      <c r="J13" t="s">
        <v>176</v>
      </c>
      <c r="K13" t="s">
        <v>176</v>
      </c>
    </row>
    <row r="14" spans="1:11" x14ac:dyDescent="0.3">
      <c r="A14" t="s">
        <v>160</v>
      </c>
      <c r="B14">
        <v>1</v>
      </c>
      <c r="C14">
        <v>0.25</v>
      </c>
      <c r="D14">
        <v>0.5</v>
      </c>
      <c r="E14">
        <v>8</v>
      </c>
      <c r="F14">
        <v>0.5</v>
      </c>
      <c r="G14">
        <v>0.125</v>
      </c>
      <c r="H14" t="s">
        <v>176</v>
      </c>
      <c r="I14" t="s">
        <v>176</v>
      </c>
      <c r="J14" t="s">
        <v>176</v>
      </c>
      <c r="K14" t="s">
        <v>176</v>
      </c>
    </row>
    <row r="15" spans="1:11" x14ac:dyDescent="0.3">
      <c r="A15" t="s">
        <v>161</v>
      </c>
      <c r="B15">
        <v>0</v>
      </c>
      <c r="C15">
        <v>1</v>
      </c>
      <c r="D15">
        <v>0.5</v>
      </c>
      <c r="E15">
        <v>4</v>
      </c>
      <c r="F15">
        <v>0.5</v>
      </c>
      <c r="G15">
        <v>0.125</v>
      </c>
      <c r="H15" t="s">
        <v>176</v>
      </c>
      <c r="I15" t="s">
        <v>176</v>
      </c>
      <c r="J15" t="s">
        <v>176</v>
      </c>
      <c r="K15" t="s">
        <v>176</v>
      </c>
    </row>
    <row r="16" spans="1:11" x14ac:dyDescent="0.3">
      <c r="A16" t="s">
        <v>162</v>
      </c>
      <c r="B16">
        <v>0</v>
      </c>
      <c r="C16">
        <v>0.5</v>
      </c>
      <c r="D16">
        <v>0.5</v>
      </c>
      <c r="E16">
        <v>8</v>
      </c>
      <c r="F16">
        <v>0.5</v>
      </c>
      <c r="G16">
        <v>0.25</v>
      </c>
      <c r="H16" t="s">
        <v>176</v>
      </c>
      <c r="I16" t="s">
        <v>176</v>
      </c>
      <c r="J16" t="s">
        <v>176</v>
      </c>
      <c r="K16" t="s">
        <v>176</v>
      </c>
    </row>
    <row r="17" spans="1:11" x14ac:dyDescent="0.3">
      <c r="A17" t="s">
        <v>75</v>
      </c>
      <c r="B17">
        <v>0</v>
      </c>
      <c r="C17">
        <v>2</v>
      </c>
      <c r="D17">
        <v>1</v>
      </c>
      <c r="E17">
        <v>8</v>
      </c>
      <c r="F17">
        <v>0.5</v>
      </c>
      <c r="G17">
        <v>0.25</v>
      </c>
      <c r="H17" t="s">
        <v>176</v>
      </c>
      <c r="I17" t="s">
        <v>176</v>
      </c>
      <c r="J17" t="s">
        <v>176</v>
      </c>
      <c r="K17" t="s">
        <v>176</v>
      </c>
    </row>
    <row r="18" spans="1:11" x14ac:dyDescent="0.3">
      <c r="A18" t="s">
        <v>76</v>
      </c>
      <c r="B18">
        <v>1</v>
      </c>
      <c r="C18">
        <v>4</v>
      </c>
      <c r="D18">
        <v>2</v>
      </c>
      <c r="E18">
        <v>128</v>
      </c>
      <c r="F18">
        <v>1</v>
      </c>
      <c r="G18">
        <v>0.25</v>
      </c>
      <c r="H18" t="s">
        <v>176</v>
      </c>
      <c r="I18" t="s">
        <v>176</v>
      </c>
      <c r="J18" t="s">
        <v>176</v>
      </c>
      <c r="K18" t="s">
        <v>176</v>
      </c>
    </row>
    <row r="19" spans="1:11" x14ac:dyDescent="0.3">
      <c r="A19" t="s">
        <v>77</v>
      </c>
      <c r="B19">
        <v>0</v>
      </c>
      <c r="C19">
        <v>1</v>
      </c>
      <c r="D19">
        <v>1</v>
      </c>
      <c r="E19">
        <v>8</v>
      </c>
      <c r="F19">
        <v>0.5</v>
      </c>
      <c r="G19">
        <v>0.125</v>
      </c>
      <c r="H19" t="s">
        <v>176</v>
      </c>
      <c r="I19" t="s">
        <v>176</v>
      </c>
      <c r="J19" t="s">
        <v>176</v>
      </c>
      <c r="K19" t="s">
        <v>176</v>
      </c>
    </row>
    <row r="20" spans="1:11" x14ac:dyDescent="0.3">
      <c r="A20" t="s">
        <v>78</v>
      </c>
      <c r="B20">
        <v>0</v>
      </c>
      <c r="C20">
        <v>2</v>
      </c>
      <c r="D20">
        <v>1</v>
      </c>
      <c r="E20">
        <v>8</v>
      </c>
      <c r="F20">
        <v>4</v>
      </c>
      <c r="G20">
        <v>0.5</v>
      </c>
      <c r="H20" t="s">
        <v>176</v>
      </c>
      <c r="I20" t="s">
        <v>176</v>
      </c>
      <c r="J20" t="s">
        <v>176</v>
      </c>
      <c r="K20" t="s">
        <v>176</v>
      </c>
    </row>
    <row r="21" spans="1:11" x14ac:dyDescent="0.3">
      <c r="A21" t="s">
        <v>79</v>
      </c>
      <c r="B21">
        <v>0</v>
      </c>
      <c r="C21">
        <v>2</v>
      </c>
      <c r="D21">
        <v>2</v>
      </c>
      <c r="E21">
        <v>16</v>
      </c>
      <c r="F21">
        <v>4</v>
      </c>
      <c r="G21">
        <v>0.5</v>
      </c>
      <c r="H21" t="s">
        <v>176</v>
      </c>
      <c r="I21" t="s">
        <v>176</v>
      </c>
      <c r="J21" t="s">
        <v>176</v>
      </c>
      <c r="K21" t="s">
        <v>176</v>
      </c>
    </row>
    <row r="22" spans="1:11" x14ac:dyDescent="0.3">
      <c r="A22" t="s">
        <v>80</v>
      </c>
      <c r="B22">
        <v>0</v>
      </c>
      <c r="C22">
        <v>4</v>
      </c>
      <c r="D22">
        <v>2</v>
      </c>
      <c r="E22">
        <v>16</v>
      </c>
      <c r="F22">
        <v>4</v>
      </c>
      <c r="G22">
        <v>0.5</v>
      </c>
      <c r="H22" t="s">
        <v>176</v>
      </c>
      <c r="I22" t="s">
        <v>176</v>
      </c>
      <c r="J22" t="s">
        <v>176</v>
      </c>
      <c r="K22" t="s">
        <v>176</v>
      </c>
    </row>
    <row r="23" spans="1:11" x14ac:dyDescent="0.3">
      <c r="A23" t="s">
        <v>84</v>
      </c>
      <c r="B23">
        <v>0</v>
      </c>
      <c r="C23">
        <v>16</v>
      </c>
      <c r="D23">
        <v>4</v>
      </c>
      <c r="E23">
        <v>16</v>
      </c>
      <c r="F23">
        <v>4</v>
      </c>
      <c r="G23">
        <v>0.5</v>
      </c>
      <c r="H23" t="s">
        <v>176</v>
      </c>
      <c r="I23" t="s">
        <v>176</v>
      </c>
      <c r="J23" t="s">
        <v>176</v>
      </c>
      <c r="K23" t="s">
        <v>176</v>
      </c>
    </row>
    <row r="24" spans="1:11" x14ac:dyDescent="0.3">
      <c r="A24" t="s">
        <v>85</v>
      </c>
      <c r="B24">
        <v>0</v>
      </c>
      <c r="C24">
        <v>16</v>
      </c>
      <c r="D24">
        <v>8</v>
      </c>
      <c r="E24">
        <v>16</v>
      </c>
      <c r="F24">
        <v>8</v>
      </c>
      <c r="G24">
        <v>0.5</v>
      </c>
      <c r="H24" t="s">
        <v>176</v>
      </c>
      <c r="I24" t="s">
        <v>176</v>
      </c>
      <c r="J24" t="s">
        <v>176</v>
      </c>
      <c r="K24" t="s">
        <v>176</v>
      </c>
    </row>
    <row r="25" spans="1:11" x14ac:dyDescent="0.3">
      <c r="A25" t="s">
        <v>86</v>
      </c>
      <c r="B25">
        <v>0</v>
      </c>
      <c r="C25">
        <v>4</v>
      </c>
      <c r="D25">
        <v>1</v>
      </c>
      <c r="E25">
        <v>4</v>
      </c>
      <c r="F25">
        <v>2</v>
      </c>
      <c r="G25">
        <v>0.25</v>
      </c>
      <c r="H25" t="s">
        <v>176</v>
      </c>
      <c r="I25" t="s">
        <v>176</v>
      </c>
      <c r="J25" t="s">
        <v>176</v>
      </c>
      <c r="K25" t="s">
        <v>176</v>
      </c>
    </row>
    <row r="26" spans="1:11" x14ac:dyDescent="0.3">
      <c r="A26" t="s">
        <v>87</v>
      </c>
      <c r="B26">
        <v>1</v>
      </c>
      <c r="C26" t="s">
        <v>176</v>
      </c>
      <c r="D26" t="s">
        <v>176</v>
      </c>
      <c r="E26" t="s">
        <v>176</v>
      </c>
      <c r="F26" t="s">
        <v>176</v>
      </c>
      <c r="G26" t="s">
        <v>176</v>
      </c>
      <c r="H26">
        <v>4</v>
      </c>
      <c r="I26">
        <v>8</v>
      </c>
      <c r="J26">
        <v>16</v>
      </c>
      <c r="K26">
        <v>8</v>
      </c>
    </row>
    <row r="27" spans="1:11" x14ac:dyDescent="0.3">
      <c r="A27" t="s">
        <v>88</v>
      </c>
      <c r="B27">
        <v>0</v>
      </c>
      <c r="C27" t="s">
        <v>176</v>
      </c>
      <c r="D27" t="s">
        <v>176</v>
      </c>
      <c r="E27" t="s">
        <v>176</v>
      </c>
      <c r="F27" t="s">
        <v>176</v>
      </c>
      <c r="G27" t="s">
        <v>176</v>
      </c>
      <c r="H27">
        <v>8</v>
      </c>
      <c r="I27">
        <v>8</v>
      </c>
      <c r="J27">
        <v>8</v>
      </c>
      <c r="K27">
        <v>4</v>
      </c>
    </row>
    <row r="28" spans="1:11" x14ac:dyDescent="0.3">
      <c r="A28" t="s">
        <v>89</v>
      </c>
      <c r="B28">
        <v>1</v>
      </c>
      <c r="C28" t="s">
        <v>176</v>
      </c>
      <c r="D28" t="s">
        <v>176</v>
      </c>
      <c r="E28" t="s">
        <v>176</v>
      </c>
      <c r="F28" t="s">
        <v>176</v>
      </c>
      <c r="G28" t="s">
        <v>176</v>
      </c>
      <c r="H28">
        <v>4</v>
      </c>
      <c r="I28">
        <v>4</v>
      </c>
      <c r="J28">
        <v>4</v>
      </c>
      <c r="K28">
        <v>4</v>
      </c>
    </row>
    <row r="29" spans="1:11" x14ac:dyDescent="0.3">
      <c r="A29" t="s">
        <v>90</v>
      </c>
      <c r="B29">
        <v>0</v>
      </c>
      <c r="C29" t="s">
        <v>176</v>
      </c>
      <c r="D29" t="s">
        <v>176</v>
      </c>
      <c r="E29" t="s">
        <v>176</v>
      </c>
      <c r="F29" t="s">
        <v>176</v>
      </c>
      <c r="G29" t="s">
        <v>176</v>
      </c>
      <c r="H29">
        <v>4</v>
      </c>
      <c r="I29">
        <v>8</v>
      </c>
      <c r="J29">
        <v>1</v>
      </c>
      <c r="K29">
        <v>2</v>
      </c>
    </row>
    <row r="30" spans="1:11" x14ac:dyDescent="0.3">
      <c r="A30" t="s">
        <v>91</v>
      </c>
      <c r="B30">
        <v>0</v>
      </c>
      <c r="C30" t="s">
        <v>176</v>
      </c>
      <c r="D30" t="s">
        <v>176</v>
      </c>
      <c r="E30" t="s">
        <v>176</v>
      </c>
      <c r="F30" t="s">
        <v>176</v>
      </c>
      <c r="G30" t="s">
        <v>176</v>
      </c>
      <c r="H30">
        <v>4</v>
      </c>
      <c r="I30">
        <v>8</v>
      </c>
      <c r="J30">
        <v>1</v>
      </c>
      <c r="K30">
        <v>2</v>
      </c>
    </row>
    <row r="31" spans="1:11" x14ac:dyDescent="0.3">
      <c r="A31" t="s">
        <v>92</v>
      </c>
      <c r="B31">
        <v>1</v>
      </c>
      <c r="C31" t="s">
        <v>176</v>
      </c>
      <c r="D31" t="s">
        <v>176</v>
      </c>
      <c r="E31" t="s">
        <v>176</v>
      </c>
      <c r="F31" t="s">
        <v>176</v>
      </c>
      <c r="G31" t="s">
        <v>176</v>
      </c>
      <c r="H31">
        <v>8</v>
      </c>
      <c r="I31">
        <v>8</v>
      </c>
      <c r="J31">
        <v>1</v>
      </c>
      <c r="K31">
        <v>2</v>
      </c>
    </row>
    <row r="32" spans="1:11" x14ac:dyDescent="0.3">
      <c r="A32" t="s">
        <v>108</v>
      </c>
      <c r="B32">
        <v>0</v>
      </c>
      <c r="C32">
        <v>0.5</v>
      </c>
      <c r="D32">
        <v>1</v>
      </c>
      <c r="E32">
        <v>2</v>
      </c>
      <c r="F32">
        <v>4</v>
      </c>
      <c r="G32">
        <v>0.5</v>
      </c>
      <c r="H32" t="s">
        <v>176</v>
      </c>
      <c r="I32" t="s">
        <v>176</v>
      </c>
      <c r="J32" t="s">
        <v>176</v>
      </c>
      <c r="K32" t="s">
        <v>176</v>
      </c>
    </row>
    <row r="33" spans="1:11" x14ac:dyDescent="0.3">
      <c r="A33" t="s">
        <v>109</v>
      </c>
      <c r="B33">
        <v>0</v>
      </c>
      <c r="C33">
        <v>2</v>
      </c>
      <c r="D33">
        <v>1</v>
      </c>
      <c r="E33">
        <v>8</v>
      </c>
      <c r="F33">
        <v>8</v>
      </c>
      <c r="G33">
        <v>1</v>
      </c>
      <c r="H33" t="s">
        <v>176</v>
      </c>
      <c r="I33" t="s">
        <v>176</v>
      </c>
      <c r="J33" t="s">
        <v>176</v>
      </c>
      <c r="K33" t="s">
        <v>176</v>
      </c>
    </row>
    <row r="34" spans="1:11" x14ac:dyDescent="0.3">
      <c r="A34" t="s">
        <v>110</v>
      </c>
      <c r="B34">
        <v>0</v>
      </c>
      <c r="C34">
        <v>1</v>
      </c>
      <c r="D34">
        <v>2</v>
      </c>
      <c r="E34">
        <v>4</v>
      </c>
      <c r="F34">
        <v>8</v>
      </c>
      <c r="G34">
        <v>1</v>
      </c>
      <c r="H34" t="s">
        <v>176</v>
      </c>
      <c r="I34" t="s">
        <v>176</v>
      </c>
      <c r="J34" t="s">
        <v>176</v>
      </c>
      <c r="K34" t="s">
        <v>176</v>
      </c>
    </row>
    <row r="35" spans="1:11" x14ac:dyDescent="0.3">
      <c r="A35" t="s">
        <v>111</v>
      </c>
      <c r="B35">
        <v>0</v>
      </c>
      <c r="C35">
        <v>4</v>
      </c>
      <c r="D35">
        <v>2</v>
      </c>
      <c r="E35">
        <v>8</v>
      </c>
      <c r="F35">
        <v>2</v>
      </c>
      <c r="G35">
        <v>0.5</v>
      </c>
      <c r="H35" t="s">
        <v>176</v>
      </c>
      <c r="I35" t="s">
        <v>176</v>
      </c>
      <c r="J35" t="s">
        <v>176</v>
      </c>
      <c r="K35" t="s">
        <v>176</v>
      </c>
    </row>
    <row r="36" spans="1:11" x14ac:dyDescent="0.3">
      <c r="A36" t="s">
        <v>112</v>
      </c>
      <c r="B36">
        <v>0</v>
      </c>
      <c r="C36">
        <v>4</v>
      </c>
      <c r="D36">
        <v>1</v>
      </c>
      <c r="E36">
        <v>8</v>
      </c>
      <c r="F36">
        <v>2</v>
      </c>
      <c r="G36">
        <v>0.5</v>
      </c>
      <c r="H36" t="s">
        <v>176</v>
      </c>
      <c r="I36" t="s">
        <v>176</v>
      </c>
      <c r="J36" t="s">
        <v>176</v>
      </c>
      <c r="K36" t="s">
        <v>176</v>
      </c>
    </row>
    <row r="37" spans="1:11" x14ac:dyDescent="0.3">
      <c r="A37" t="s">
        <v>113</v>
      </c>
      <c r="B37">
        <v>0</v>
      </c>
      <c r="C37">
        <v>4</v>
      </c>
      <c r="D37">
        <v>1</v>
      </c>
      <c r="E37">
        <v>8</v>
      </c>
      <c r="F37">
        <v>2</v>
      </c>
      <c r="G37">
        <v>0.5</v>
      </c>
      <c r="H37" t="s">
        <v>176</v>
      </c>
      <c r="I37" t="s">
        <v>176</v>
      </c>
      <c r="J37" t="s">
        <v>176</v>
      </c>
      <c r="K37" t="s">
        <v>176</v>
      </c>
    </row>
    <row r="38" spans="1:11" x14ac:dyDescent="0.3">
      <c r="A38" t="s">
        <v>123</v>
      </c>
      <c r="B38">
        <v>1</v>
      </c>
      <c r="C38">
        <v>2</v>
      </c>
      <c r="D38">
        <v>1</v>
      </c>
      <c r="E38">
        <v>4</v>
      </c>
      <c r="F38">
        <v>1</v>
      </c>
      <c r="G38">
        <v>0.5</v>
      </c>
      <c r="H38">
        <v>2</v>
      </c>
      <c r="I38">
        <v>4</v>
      </c>
      <c r="J38">
        <v>1</v>
      </c>
      <c r="K38">
        <v>1</v>
      </c>
    </row>
    <row r="39" spans="1:11" x14ac:dyDescent="0.3">
      <c r="A39" t="s">
        <v>124</v>
      </c>
      <c r="B39">
        <v>1</v>
      </c>
      <c r="C39">
        <v>2</v>
      </c>
      <c r="D39">
        <v>1</v>
      </c>
      <c r="E39">
        <v>4</v>
      </c>
      <c r="F39">
        <v>1</v>
      </c>
      <c r="G39">
        <v>0.5</v>
      </c>
      <c r="H39">
        <v>2</v>
      </c>
      <c r="I39">
        <v>4</v>
      </c>
      <c r="J39">
        <v>1</v>
      </c>
      <c r="K39">
        <v>2</v>
      </c>
    </row>
    <row r="40" spans="1:11" x14ac:dyDescent="0.3">
      <c r="A40" t="s">
        <v>124</v>
      </c>
      <c r="B40">
        <v>0</v>
      </c>
      <c r="C40">
        <v>1</v>
      </c>
      <c r="D40">
        <v>1</v>
      </c>
      <c r="E40">
        <v>4</v>
      </c>
      <c r="F40">
        <v>1</v>
      </c>
      <c r="G40">
        <v>0.5</v>
      </c>
      <c r="H40">
        <v>2</v>
      </c>
      <c r="I40">
        <v>2</v>
      </c>
      <c r="J40">
        <v>1</v>
      </c>
      <c r="K40">
        <v>1</v>
      </c>
    </row>
    <row r="41" spans="1:11" x14ac:dyDescent="0.3">
      <c r="A41" t="s">
        <v>125</v>
      </c>
      <c r="B41">
        <v>1</v>
      </c>
      <c r="C41">
        <v>0.5</v>
      </c>
      <c r="D41">
        <v>1</v>
      </c>
      <c r="E41">
        <v>8</v>
      </c>
      <c r="F41">
        <v>1</v>
      </c>
      <c r="G41">
        <v>0.25</v>
      </c>
      <c r="H41">
        <v>2</v>
      </c>
      <c r="I41">
        <v>2</v>
      </c>
      <c r="J41">
        <v>1</v>
      </c>
      <c r="K41">
        <v>0.5</v>
      </c>
    </row>
    <row r="42" spans="1:11" x14ac:dyDescent="0.3">
      <c r="A42" t="s">
        <v>126</v>
      </c>
      <c r="B42">
        <v>0</v>
      </c>
      <c r="C42">
        <v>0.5</v>
      </c>
      <c r="D42">
        <v>2</v>
      </c>
      <c r="E42">
        <v>8</v>
      </c>
      <c r="F42">
        <v>0.5</v>
      </c>
      <c r="G42">
        <v>0.125</v>
      </c>
      <c r="H42">
        <v>2</v>
      </c>
      <c r="I42">
        <v>2</v>
      </c>
      <c r="J42">
        <v>0.5</v>
      </c>
      <c r="K42">
        <v>0.5</v>
      </c>
    </row>
    <row r="43" spans="1:11" x14ac:dyDescent="0.3">
      <c r="A43" t="s">
        <v>127</v>
      </c>
      <c r="B43">
        <v>1</v>
      </c>
      <c r="C43">
        <v>1</v>
      </c>
      <c r="D43">
        <v>1</v>
      </c>
      <c r="E43">
        <v>8</v>
      </c>
      <c r="F43">
        <v>1</v>
      </c>
      <c r="G43">
        <v>0.25</v>
      </c>
      <c r="H43">
        <v>2</v>
      </c>
      <c r="I43">
        <v>2</v>
      </c>
      <c r="J43">
        <v>0.5</v>
      </c>
      <c r="K43">
        <v>0.5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BEDC8-2DBE-4237-9BC0-99FB89C93E3E}">
  <dimension ref="A1:K43"/>
  <sheetViews>
    <sheetView topLeftCell="A18" workbookViewId="0">
      <selection activeCell="K37" sqref="H32:K37"/>
    </sheetView>
  </sheetViews>
  <sheetFormatPr defaultRowHeight="14.4" x14ac:dyDescent="0.3"/>
  <cols>
    <col min="1" max="1" width="14.109375" customWidth="1"/>
    <col min="2" max="2" width="10.21875" bestFit="1" customWidth="1"/>
    <col min="3" max="3" width="12.21875" bestFit="1" customWidth="1"/>
    <col min="4" max="4" width="14.33203125" bestFit="1" customWidth="1"/>
    <col min="5" max="5" width="15.5546875" bestFit="1" customWidth="1"/>
    <col min="6" max="6" width="10.109375" bestFit="1" customWidth="1"/>
    <col min="7" max="7" width="9.33203125" bestFit="1" customWidth="1"/>
    <col min="8" max="9" width="9.88671875" bestFit="1" customWidth="1"/>
    <col min="10" max="10" width="11.21875" bestFit="1" customWidth="1"/>
    <col min="11" max="11" width="16.33203125" bestFit="1" customWidth="1"/>
  </cols>
  <sheetData>
    <row r="1" spans="1:11" x14ac:dyDescent="0.3">
      <c r="A1" s="1" t="s">
        <v>47</v>
      </c>
      <c r="B1" s="1" t="s">
        <v>159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155</v>
      </c>
      <c r="I1" s="1" t="s">
        <v>156</v>
      </c>
      <c r="J1" s="1" t="s">
        <v>157</v>
      </c>
      <c r="K1" s="1" t="s">
        <v>158</v>
      </c>
    </row>
    <row r="2" spans="1:11" x14ac:dyDescent="0.3">
      <c r="A2" t="s">
        <v>48</v>
      </c>
      <c r="B2">
        <v>0</v>
      </c>
      <c r="C2">
        <v>64</v>
      </c>
      <c r="D2">
        <v>8</v>
      </c>
      <c r="E2">
        <v>512</v>
      </c>
      <c r="F2">
        <v>4</v>
      </c>
      <c r="G2">
        <v>1</v>
      </c>
      <c r="H2" t="s">
        <v>176</v>
      </c>
      <c r="I2" t="s">
        <v>176</v>
      </c>
      <c r="J2" t="s">
        <v>176</v>
      </c>
      <c r="K2" t="s">
        <v>176</v>
      </c>
    </row>
    <row r="3" spans="1:11" x14ac:dyDescent="0.3">
      <c r="A3" t="s">
        <v>49</v>
      </c>
      <c r="B3">
        <v>0</v>
      </c>
      <c r="C3">
        <v>32</v>
      </c>
      <c r="D3">
        <v>8</v>
      </c>
      <c r="E3">
        <v>512</v>
      </c>
      <c r="F3">
        <v>8</v>
      </c>
      <c r="G3">
        <v>1</v>
      </c>
      <c r="H3" t="s">
        <v>176</v>
      </c>
      <c r="I3" t="s">
        <v>176</v>
      </c>
      <c r="J3" t="s">
        <v>176</v>
      </c>
      <c r="K3" t="s">
        <v>176</v>
      </c>
    </row>
    <row r="4" spans="1:11" x14ac:dyDescent="0.3">
      <c r="A4" t="s">
        <v>50</v>
      </c>
      <c r="B4">
        <v>1</v>
      </c>
      <c r="C4">
        <v>32</v>
      </c>
      <c r="D4">
        <v>16</v>
      </c>
      <c r="E4">
        <v>1024</v>
      </c>
      <c r="F4">
        <v>8</v>
      </c>
      <c r="G4">
        <v>1</v>
      </c>
      <c r="H4" t="s">
        <v>176</v>
      </c>
      <c r="I4" t="s">
        <v>176</v>
      </c>
      <c r="J4" t="s">
        <v>176</v>
      </c>
      <c r="K4" t="s">
        <v>176</v>
      </c>
    </row>
    <row r="5" spans="1:11" x14ac:dyDescent="0.3">
      <c r="A5" t="s">
        <v>54</v>
      </c>
      <c r="B5">
        <v>0</v>
      </c>
      <c r="C5">
        <v>2</v>
      </c>
      <c r="D5">
        <v>1</v>
      </c>
      <c r="E5">
        <v>8</v>
      </c>
      <c r="F5">
        <v>4</v>
      </c>
      <c r="G5">
        <v>0.5</v>
      </c>
      <c r="H5" t="s">
        <v>176</v>
      </c>
      <c r="I5" t="s">
        <v>176</v>
      </c>
      <c r="J5" t="s">
        <v>176</v>
      </c>
      <c r="K5" t="s">
        <v>176</v>
      </c>
    </row>
    <row r="6" spans="1:11" x14ac:dyDescent="0.3">
      <c r="A6" t="s">
        <v>55</v>
      </c>
      <c r="B6">
        <v>1</v>
      </c>
      <c r="C6">
        <v>2</v>
      </c>
      <c r="D6">
        <v>2</v>
      </c>
      <c r="E6">
        <v>4</v>
      </c>
      <c r="F6">
        <v>0.5</v>
      </c>
      <c r="G6">
        <v>0.25</v>
      </c>
      <c r="H6" t="s">
        <v>176</v>
      </c>
      <c r="I6" t="s">
        <v>176</v>
      </c>
      <c r="J6" t="s">
        <v>176</v>
      </c>
      <c r="K6" t="s">
        <v>176</v>
      </c>
    </row>
    <row r="7" spans="1:11" x14ac:dyDescent="0.3">
      <c r="A7" t="s">
        <v>56</v>
      </c>
      <c r="B7">
        <v>1</v>
      </c>
      <c r="C7">
        <v>4</v>
      </c>
      <c r="D7">
        <v>2</v>
      </c>
      <c r="E7">
        <v>8</v>
      </c>
      <c r="F7">
        <v>2</v>
      </c>
      <c r="G7">
        <v>0.5</v>
      </c>
      <c r="H7" t="s">
        <v>176</v>
      </c>
      <c r="I7" t="s">
        <v>176</v>
      </c>
      <c r="J7" t="s">
        <v>176</v>
      </c>
      <c r="K7" t="s">
        <v>176</v>
      </c>
    </row>
    <row r="8" spans="1:11" x14ac:dyDescent="0.3">
      <c r="A8" t="s">
        <v>60</v>
      </c>
      <c r="B8">
        <v>1</v>
      </c>
      <c r="C8">
        <v>4</v>
      </c>
      <c r="D8">
        <v>4</v>
      </c>
      <c r="E8">
        <v>1024</v>
      </c>
      <c r="F8">
        <v>2</v>
      </c>
      <c r="G8">
        <v>0.5</v>
      </c>
      <c r="H8" t="s">
        <v>176</v>
      </c>
      <c r="I8" t="s">
        <v>176</v>
      </c>
      <c r="J8" t="s">
        <v>176</v>
      </c>
      <c r="K8" t="s">
        <v>176</v>
      </c>
    </row>
    <row r="9" spans="1:11" x14ac:dyDescent="0.3">
      <c r="A9" t="s">
        <v>61</v>
      </c>
      <c r="B9">
        <v>0</v>
      </c>
      <c r="C9">
        <v>16</v>
      </c>
      <c r="D9">
        <v>16</v>
      </c>
      <c r="E9">
        <v>1024</v>
      </c>
      <c r="F9">
        <v>8</v>
      </c>
      <c r="G9">
        <v>1</v>
      </c>
      <c r="H9" t="s">
        <v>176</v>
      </c>
      <c r="I9" t="s">
        <v>176</v>
      </c>
      <c r="J9" t="s">
        <v>176</v>
      </c>
      <c r="K9" t="s">
        <v>176</v>
      </c>
    </row>
    <row r="10" spans="1:11" x14ac:dyDescent="0.3">
      <c r="A10" t="s">
        <v>62</v>
      </c>
      <c r="B10">
        <v>0</v>
      </c>
      <c r="C10">
        <v>32</v>
      </c>
      <c r="D10">
        <v>16</v>
      </c>
      <c r="E10">
        <v>512</v>
      </c>
      <c r="F10">
        <v>8</v>
      </c>
      <c r="G10">
        <v>1</v>
      </c>
      <c r="H10" t="s">
        <v>176</v>
      </c>
      <c r="I10" t="s">
        <v>176</v>
      </c>
      <c r="J10" t="s">
        <v>176</v>
      </c>
      <c r="K10" t="s">
        <v>176</v>
      </c>
    </row>
    <row r="11" spans="1:11" x14ac:dyDescent="0.3">
      <c r="A11" t="s">
        <v>66</v>
      </c>
      <c r="B11">
        <v>0</v>
      </c>
      <c r="C11">
        <v>16</v>
      </c>
      <c r="D11">
        <v>8</v>
      </c>
      <c r="E11">
        <v>512</v>
      </c>
      <c r="F11">
        <v>4</v>
      </c>
      <c r="G11">
        <v>0.5</v>
      </c>
      <c r="H11" t="s">
        <v>176</v>
      </c>
      <c r="I11" t="s">
        <v>176</v>
      </c>
      <c r="J11" t="s">
        <v>176</v>
      </c>
      <c r="K11" t="s">
        <v>176</v>
      </c>
    </row>
    <row r="12" spans="1:11" x14ac:dyDescent="0.3">
      <c r="A12" t="s">
        <v>67</v>
      </c>
      <c r="B12">
        <v>1</v>
      </c>
      <c r="C12">
        <v>16</v>
      </c>
      <c r="D12">
        <v>8</v>
      </c>
      <c r="E12">
        <v>128</v>
      </c>
      <c r="F12">
        <v>4</v>
      </c>
      <c r="G12">
        <v>0.5</v>
      </c>
      <c r="H12" t="s">
        <v>176</v>
      </c>
      <c r="I12" t="s">
        <v>176</v>
      </c>
      <c r="J12" t="s">
        <v>176</v>
      </c>
      <c r="K12" t="s">
        <v>176</v>
      </c>
    </row>
    <row r="13" spans="1:11" x14ac:dyDescent="0.3">
      <c r="A13" t="s">
        <v>68</v>
      </c>
      <c r="B13">
        <v>0</v>
      </c>
      <c r="C13">
        <v>16</v>
      </c>
      <c r="D13">
        <v>8</v>
      </c>
      <c r="E13">
        <v>256</v>
      </c>
      <c r="F13">
        <v>4</v>
      </c>
      <c r="G13">
        <v>1</v>
      </c>
      <c r="H13" t="s">
        <v>176</v>
      </c>
      <c r="I13" t="s">
        <v>176</v>
      </c>
      <c r="J13" t="s">
        <v>176</v>
      </c>
      <c r="K13" t="s">
        <v>176</v>
      </c>
    </row>
    <row r="14" spans="1:11" x14ac:dyDescent="0.3">
      <c r="A14" t="s">
        <v>160</v>
      </c>
      <c r="B14">
        <v>0</v>
      </c>
      <c r="C14">
        <v>0.25</v>
      </c>
      <c r="D14">
        <v>0.5</v>
      </c>
      <c r="E14">
        <v>8</v>
      </c>
      <c r="F14">
        <v>0.5</v>
      </c>
      <c r="G14">
        <v>0.125</v>
      </c>
      <c r="H14" t="s">
        <v>176</v>
      </c>
      <c r="I14" t="s">
        <v>176</v>
      </c>
      <c r="J14" t="s">
        <v>176</v>
      </c>
      <c r="K14" t="s">
        <v>176</v>
      </c>
    </row>
    <row r="15" spans="1:11" x14ac:dyDescent="0.3">
      <c r="A15" t="s">
        <v>161</v>
      </c>
      <c r="B15">
        <v>1</v>
      </c>
      <c r="C15">
        <v>1</v>
      </c>
      <c r="D15">
        <v>0.5</v>
      </c>
      <c r="E15">
        <v>4</v>
      </c>
      <c r="F15">
        <v>0.5</v>
      </c>
      <c r="G15">
        <v>0.125</v>
      </c>
      <c r="H15" t="s">
        <v>176</v>
      </c>
      <c r="I15" t="s">
        <v>176</v>
      </c>
      <c r="J15" t="s">
        <v>176</v>
      </c>
      <c r="K15" t="s">
        <v>176</v>
      </c>
    </row>
    <row r="16" spans="1:11" x14ac:dyDescent="0.3">
      <c r="A16" t="s">
        <v>162</v>
      </c>
      <c r="B16">
        <v>0</v>
      </c>
      <c r="C16">
        <v>0.5</v>
      </c>
      <c r="D16">
        <v>0.5</v>
      </c>
      <c r="E16">
        <v>8</v>
      </c>
      <c r="F16">
        <v>0.5</v>
      </c>
      <c r="G16">
        <v>0.25</v>
      </c>
      <c r="H16" t="s">
        <v>176</v>
      </c>
      <c r="I16" t="s">
        <v>176</v>
      </c>
      <c r="J16" t="s">
        <v>176</v>
      </c>
      <c r="K16" t="s">
        <v>176</v>
      </c>
    </row>
    <row r="17" spans="1:11" x14ac:dyDescent="0.3">
      <c r="A17" t="s">
        <v>75</v>
      </c>
      <c r="B17">
        <v>0</v>
      </c>
      <c r="C17">
        <v>2</v>
      </c>
      <c r="D17">
        <v>1</v>
      </c>
      <c r="E17">
        <v>8</v>
      </c>
      <c r="F17">
        <v>0.5</v>
      </c>
      <c r="G17">
        <v>0.25</v>
      </c>
      <c r="H17" t="s">
        <v>176</v>
      </c>
      <c r="I17" t="s">
        <v>176</v>
      </c>
      <c r="J17" t="s">
        <v>176</v>
      </c>
      <c r="K17" t="s">
        <v>176</v>
      </c>
    </row>
    <row r="18" spans="1:11" x14ac:dyDescent="0.3">
      <c r="A18" t="s">
        <v>76</v>
      </c>
      <c r="B18">
        <v>0</v>
      </c>
      <c r="C18">
        <v>4</v>
      </c>
      <c r="D18">
        <v>2</v>
      </c>
      <c r="E18">
        <v>128</v>
      </c>
      <c r="F18">
        <v>1</v>
      </c>
      <c r="G18">
        <v>0.25</v>
      </c>
      <c r="H18" t="s">
        <v>176</v>
      </c>
      <c r="I18" t="s">
        <v>176</v>
      </c>
      <c r="J18" t="s">
        <v>176</v>
      </c>
      <c r="K18" t="s">
        <v>176</v>
      </c>
    </row>
    <row r="19" spans="1:11" x14ac:dyDescent="0.3">
      <c r="A19" t="s">
        <v>77</v>
      </c>
      <c r="B19">
        <v>0</v>
      </c>
      <c r="C19">
        <v>1</v>
      </c>
      <c r="D19">
        <v>1</v>
      </c>
      <c r="E19">
        <v>8</v>
      </c>
      <c r="F19">
        <v>0.5</v>
      </c>
      <c r="G19">
        <v>0.125</v>
      </c>
      <c r="H19" t="s">
        <v>176</v>
      </c>
      <c r="I19" t="s">
        <v>176</v>
      </c>
      <c r="J19" t="s">
        <v>176</v>
      </c>
      <c r="K19" t="s">
        <v>176</v>
      </c>
    </row>
    <row r="20" spans="1:11" x14ac:dyDescent="0.3">
      <c r="A20" t="s">
        <v>78</v>
      </c>
      <c r="B20">
        <v>0</v>
      </c>
      <c r="C20">
        <v>2</v>
      </c>
      <c r="D20">
        <v>1</v>
      </c>
      <c r="E20">
        <v>8</v>
      </c>
      <c r="F20">
        <v>4</v>
      </c>
      <c r="G20">
        <v>0.5</v>
      </c>
      <c r="H20" t="s">
        <v>176</v>
      </c>
      <c r="I20" t="s">
        <v>176</v>
      </c>
      <c r="J20" t="s">
        <v>176</v>
      </c>
      <c r="K20" t="s">
        <v>176</v>
      </c>
    </row>
    <row r="21" spans="1:11" x14ac:dyDescent="0.3">
      <c r="A21" t="s">
        <v>79</v>
      </c>
      <c r="B21">
        <v>0</v>
      </c>
      <c r="C21">
        <v>2</v>
      </c>
      <c r="D21">
        <v>2</v>
      </c>
      <c r="E21">
        <v>16</v>
      </c>
      <c r="F21">
        <v>4</v>
      </c>
      <c r="G21">
        <v>0.5</v>
      </c>
      <c r="H21" t="s">
        <v>176</v>
      </c>
      <c r="I21" t="s">
        <v>176</v>
      </c>
      <c r="J21" t="s">
        <v>176</v>
      </c>
      <c r="K21" t="s">
        <v>176</v>
      </c>
    </row>
    <row r="22" spans="1:11" x14ac:dyDescent="0.3">
      <c r="A22" t="s">
        <v>80</v>
      </c>
      <c r="B22">
        <v>0</v>
      </c>
      <c r="C22">
        <v>4</v>
      </c>
      <c r="D22">
        <v>2</v>
      </c>
      <c r="E22">
        <v>16</v>
      </c>
      <c r="F22">
        <v>4</v>
      </c>
      <c r="G22">
        <v>0.5</v>
      </c>
      <c r="H22" t="s">
        <v>176</v>
      </c>
      <c r="I22" t="s">
        <v>176</v>
      </c>
      <c r="J22" t="s">
        <v>176</v>
      </c>
      <c r="K22" t="s">
        <v>176</v>
      </c>
    </row>
    <row r="23" spans="1:11" x14ac:dyDescent="0.3">
      <c r="A23" t="s">
        <v>84</v>
      </c>
      <c r="B23">
        <v>1</v>
      </c>
      <c r="C23">
        <v>16</v>
      </c>
      <c r="D23">
        <v>4</v>
      </c>
      <c r="E23">
        <v>16</v>
      </c>
      <c r="F23">
        <v>4</v>
      </c>
      <c r="G23">
        <v>0.5</v>
      </c>
      <c r="H23" t="s">
        <v>176</v>
      </c>
      <c r="I23" t="s">
        <v>176</v>
      </c>
      <c r="J23" t="s">
        <v>176</v>
      </c>
      <c r="K23" t="s">
        <v>176</v>
      </c>
    </row>
    <row r="24" spans="1:11" x14ac:dyDescent="0.3">
      <c r="A24" t="s">
        <v>85</v>
      </c>
      <c r="B24">
        <v>0</v>
      </c>
      <c r="C24">
        <v>16</v>
      </c>
      <c r="D24">
        <v>8</v>
      </c>
      <c r="E24">
        <v>16</v>
      </c>
      <c r="F24">
        <v>8</v>
      </c>
      <c r="G24">
        <v>0.5</v>
      </c>
      <c r="H24" t="s">
        <v>176</v>
      </c>
      <c r="I24" t="s">
        <v>176</v>
      </c>
      <c r="J24" t="s">
        <v>176</v>
      </c>
      <c r="K24" t="s">
        <v>176</v>
      </c>
    </row>
    <row r="25" spans="1:11" x14ac:dyDescent="0.3">
      <c r="A25" t="s">
        <v>86</v>
      </c>
      <c r="B25">
        <v>0</v>
      </c>
      <c r="C25">
        <v>4</v>
      </c>
      <c r="D25">
        <v>1</v>
      </c>
      <c r="E25">
        <v>4</v>
      </c>
      <c r="F25">
        <v>2</v>
      </c>
      <c r="G25">
        <v>0.25</v>
      </c>
      <c r="H25" t="s">
        <v>176</v>
      </c>
      <c r="I25" t="s">
        <v>176</v>
      </c>
      <c r="J25" t="s">
        <v>176</v>
      </c>
      <c r="K25" t="s">
        <v>176</v>
      </c>
    </row>
    <row r="26" spans="1:11" x14ac:dyDescent="0.3">
      <c r="A26" t="s">
        <v>87</v>
      </c>
      <c r="B26">
        <v>0</v>
      </c>
      <c r="C26" t="s">
        <v>176</v>
      </c>
      <c r="D26" t="s">
        <v>176</v>
      </c>
      <c r="E26" t="s">
        <v>176</v>
      </c>
      <c r="F26" t="s">
        <v>176</v>
      </c>
      <c r="G26" t="s">
        <v>176</v>
      </c>
      <c r="H26">
        <v>4</v>
      </c>
      <c r="I26">
        <v>8</v>
      </c>
      <c r="J26">
        <v>16</v>
      </c>
      <c r="K26">
        <v>8</v>
      </c>
    </row>
    <row r="27" spans="1:11" x14ac:dyDescent="0.3">
      <c r="A27" t="s">
        <v>88</v>
      </c>
      <c r="B27">
        <v>1</v>
      </c>
      <c r="C27" t="s">
        <v>176</v>
      </c>
      <c r="D27" t="s">
        <v>176</v>
      </c>
      <c r="E27" t="s">
        <v>176</v>
      </c>
      <c r="F27" t="s">
        <v>176</v>
      </c>
      <c r="G27" t="s">
        <v>176</v>
      </c>
      <c r="H27">
        <v>8</v>
      </c>
      <c r="I27">
        <v>8</v>
      </c>
      <c r="J27">
        <v>8</v>
      </c>
      <c r="K27">
        <v>4</v>
      </c>
    </row>
    <row r="28" spans="1:11" x14ac:dyDescent="0.3">
      <c r="A28" t="s">
        <v>89</v>
      </c>
      <c r="B28">
        <v>0</v>
      </c>
      <c r="C28" t="s">
        <v>176</v>
      </c>
      <c r="D28" t="s">
        <v>176</v>
      </c>
      <c r="E28" t="s">
        <v>176</v>
      </c>
      <c r="F28" t="s">
        <v>176</v>
      </c>
      <c r="G28" t="s">
        <v>176</v>
      </c>
      <c r="H28">
        <v>4</v>
      </c>
      <c r="I28">
        <v>4</v>
      </c>
      <c r="J28">
        <v>4</v>
      </c>
      <c r="K28">
        <v>4</v>
      </c>
    </row>
    <row r="29" spans="1:11" x14ac:dyDescent="0.3">
      <c r="A29" t="s">
        <v>90</v>
      </c>
      <c r="B29">
        <v>1</v>
      </c>
      <c r="C29" t="s">
        <v>176</v>
      </c>
      <c r="D29" t="s">
        <v>176</v>
      </c>
      <c r="E29" t="s">
        <v>176</v>
      </c>
      <c r="F29" t="s">
        <v>176</v>
      </c>
      <c r="G29" t="s">
        <v>176</v>
      </c>
      <c r="H29">
        <v>4</v>
      </c>
      <c r="I29">
        <v>8</v>
      </c>
      <c r="J29">
        <v>1</v>
      </c>
      <c r="K29">
        <v>2</v>
      </c>
    </row>
    <row r="30" spans="1:11" x14ac:dyDescent="0.3">
      <c r="A30" t="s">
        <v>91</v>
      </c>
      <c r="B30">
        <v>1</v>
      </c>
      <c r="C30" t="s">
        <v>176</v>
      </c>
      <c r="D30" t="s">
        <v>176</v>
      </c>
      <c r="E30" t="s">
        <v>176</v>
      </c>
      <c r="F30" t="s">
        <v>176</v>
      </c>
      <c r="G30" t="s">
        <v>176</v>
      </c>
      <c r="H30">
        <v>4</v>
      </c>
      <c r="I30">
        <v>8</v>
      </c>
      <c r="J30">
        <v>1</v>
      </c>
      <c r="K30">
        <v>2</v>
      </c>
    </row>
    <row r="31" spans="1:11" x14ac:dyDescent="0.3">
      <c r="A31" t="s">
        <v>92</v>
      </c>
      <c r="B31">
        <v>1</v>
      </c>
      <c r="C31" t="s">
        <v>176</v>
      </c>
      <c r="D31" t="s">
        <v>176</v>
      </c>
      <c r="E31" t="s">
        <v>176</v>
      </c>
      <c r="F31" t="s">
        <v>176</v>
      </c>
      <c r="G31" t="s">
        <v>176</v>
      </c>
      <c r="H31">
        <v>8</v>
      </c>
      <c r="I31">
        <v>8</v>
      </c>
      <c r="J31">
        <v>1</v>
      </c>
      <c r="K31">
        <v>2</v>
      </c>
    </row>
    <row r="32" spans="1:11" x14ac:dyDescent="0.3">
      <c r="A32" t="s">
        <v>108</v>
      </c>
      <c r="B32">
        <v>0</v>
      </c>
      <c r="C32">
        <v>0.5</v>
      </c>
      <c r="D32">
        <v>1</v>
      </c>
      <c r="E32">
        <v>2</v>
      </c>
      <c r="F32">
        <v>4</v>
      </c>
      <c r="G32">
        <v>0.5</v>
      </c>
      <c r="H32" t="s">
        <v>176</v>
      </c>
      <c r="I32" t="s">
        <v>176</v>
      </c>
      <c r="J32" t="s">
        <v>176</v>
      </c>
      <c r="K32" t="s">
        <v>176</v>
      </c>
    </row>
    <row r="33" spans="1:11" x14ac:dyDescent="0.3">
      <c r="A33" t="s">
        <v>109</v>
      </c>
      <c r="B33">
        <v>0</v>
      </c>
      <c r="C33">
        <v>2</v>
      </c>
      <c r="D33">
        <v>1</v>
      </c>
      <c r="E33">
        <v>8</v>
      </c>
      <c r="F33">
        <v>8</v>
      </c>
      <c r="G33">
        <v>1</v>
      </c>
      <c r="H33" t="s">
        <v>176</v>
      </c>
      <c r="I33" t="s">
        <v>176</v>
      </c>
      <c r="J33" t="s">
        <v>176</v>
      </c>
      <c r="K33" t="s">
        <v>176</v>
      </c>
    </row>
    <row r="34" spans="1:11" x14ac:dyDescent="0.3">
      <c r="A34" t="s">
        <v>110</v>
      </c>
      <c r="B34">
        <v>1</v>
      </c>
      <c r="C34">
        <v>1</v>
      </c>
      <c r="D34">
        <v>2</v>
      </c>
      <c r="E34">
        <v>4</v>
      </c>
      <c r="F34">
        <v>8</v>
      </c>
      <c r="G34">
        <v>1</v>
      </c>
      <c r="H34" t="s">
        <v>176</v>
      </c>
      <c r="I34" t="s">
        <v>176</v>
      </c>
      <c r="J34" t="s">
        <v>176</v>
      </c>
      <c r="K34" t="s">
        <v>176</v>
      </c>
    </row>
    <row r="35" spans="1:11" x14ac:dyDescent="0.3">
      <c r="A35" t="s">
        <v>111</v>
      </c>
      <c r="B35">
        <v>0</v>
      </c>
      <c r="C35">
        <v>4</v>
      </c>
      <c r="D35">
        <v>2</v>
      </c>
      <c r="E35">
        <v>8</v>
      </c>
      <c r="F35">
        <v>2</v>
      </c>
      <c r="G35">
        <v>0.5</v>
      </c>
      <c r="H35" t="s">
        <v>176</v>
      </c>
      <c r="I35" t="s">
        <v>176</v>
      </c>
      <c r="J35" t="s">
        <v>176</v>
      </c>
      <c r="K35" t="s">
        <v>176</v>
      </c>
    </row>
    <row r="36" spans="1:11" x14ac:dyDescent="0.3">
      <c r="A36" t="s">
        <v>112</v>
      </c>
      <c r="B36">
        <v>1</v>
      </c>
      <c r="C36">
        <v>4</v>
      </c>
      <c r="D36">
        <v>1</v>
      </c>
      <c r="E36">
        <v>8</v>
      </c>
      <c r="F36">
        <v>2</v>
      </c>
      <c r="G36">
        <v>0.5</v>
      </c>
      <c r="H36" t="s">
        <v>176</v>
      </c>
      <c r="I36" t="s">
        <v>176</v>
      </c>
      <c r="J36" t="s">
        <v>176</v>
      </c>
      <c r="K36" t="s">
        <v>176</v>
      </c>
    </row>
    <row r="37" spans="1:11" x14ac:dyDescent="0.3">
      <c r="A37" t="s">
        <v>113</v>
      </c>
      <c r="B37">
        <v>0</v>
      </c>
      <c r="C37">
        <v>4</v>
      </c>
      <c r="D37">
        <v>1</v>
      </c>
      <c r="E37">
        <v>8</v>
      </c>
      <c r="F37">
        <v>2</v>
      </c>
      <c r="G37">
        <v>0.5</v>
      </c>
      <c r="H37" t="s">
        <v>176</v>
      </c>
      <c r="I37" t="s">
        <v>176</v>
      </c>
      <c r="J37" t="s">
        <v>176</v>
      </c>
      <c r="K37" t="s">
        <v>176</v>
      </c>
    </row>
    <row r="38" spans="1:11" x14ac:dyDescent="0.3">
      <c r="A38" t="s">
        <v>123</v>
      </c>
      <c r="B38">
        <v>0</v>
      </c>
      <c r="C38">
        <v>2</v>
      </c>
      <c r="D38">
        <v>1</v>
      </c>
      <c r="E38">
        <v>4</v>
      </c>
      <c r="F38">
        <v>1</v>
      </c>
      <c r="G38">
        <v>0.5</v>
      </c>
      <c r="H38">
        <v>2</v>
      </c>
      <c r="I38">
        <v>4</v>
      </c>
      <c r="J38">
        <v>1</v>
      </c>
      <c r="K38">
        <v>1</v>
      </c>
    </row>
    <row r="39" spans="1:11" x14ac:dyDescent="0.3">
      <c r="A39" t="s">
        <v>124</v>
      </c>
      <c r="B39">
        <v>0</v>
      </c>
      <c r="C39">
        <v>2</v>
      </c>
      <c r="D39">
        <v>1</v>
      </c>
      <c r="E39">
        <v>4</v>
      </c>
      <c r="F39">
        <v>1</v>
      </c>
      <c r="G39">
        <v>0.5</v>
      </c>
      <c r="H39">
        <v>2</v>
      </c>
      <c r="I39">
        <v>4</v>
      </c>
      <c r="J39">
        <v>1</v>
      </c>
      <c r="K39">
        <v>2</v>
      </c>
    </row>
    <row r="40" spans="1:11" x14ac:dyDescent="0.3">
      <c r="A40" t="s">
        <v>124</v>
      </c>
      <c r="B40">
        <v>0</v>
      </c>
      <c r="C40">
        <v>1</v>
      </c>
      <c r="D40">
        <v>1</v>
      </c>
      <c r="E40">
        <v>4</v>
      </c>
      <c r="F40">
        <v>1</v>
      </c>
      <c r="G40">
        <v>0.5</v>
      </c>
      <c r="H40">
        <v>2</v>
      </c>
      <c r="I40">
        <v>2</v>
      </c>
      <c r="J40">
        <v>1</v>
      </c>
      <c r="K40">
        <v>1</v>
      </c>
    </row>
    <row r="41" spans="1:11" x14ac:dyDescent="0.3">
      <c r="A41" t="s">
        <v>125</v>
      </c>
      <c r="B41">
        <v>1</v>
      </c>
      <c r="C41">
        <v>0.5</v>
      </c>
      <c r="D41">
        <v>1</v>
      </c>
      <c r="E41">
        <v>8</v>
      </c>
      <c r="F41">
        <v>1</v>
      </c>
      <c r="G41">
        <v>0.25</v>
      </c>
      <c r="H41">
        <v>2</v>
      </c>
      <c r="I41">
        <v>2</v>
      </c>
      <c r="J41">
        <v>1</v>
      </c>
      <c r="K41">
        <v>0.5</v>
      </c>
    </row>
    <row r="42" spans="1:11" x14ac:dyDescent="0.3">
      <c r="A42" t="s">
        <v>126</v>
      </c>
      <c r="B42">
        <v>1</v>
      </c>
      <c r="C42">
        <v>0.5</v>
      </c>
      <c r="D42">
        <v>2</v>
      </c>
      <c r="E42">
        <v>8</v>
      </c>
      <c r="F42">
        <v>0.5</v>
      </c>
      <c r="G42">
        <v>0.125</v>
      </c>
      <c r="H42">
        <v>2</v>
      </c>
      <c r="I42">
        <v>2</v>
      </c>
      <c r="J42">
        <v>0.5</v>
      </c>
      <c r="K42">
        <v>0.5</v>
      </c>
    </row>
    <row r="43" spans="1:11" x14ac:dyDescent="0.3">
      <c r="A43" t="s">
        <v>127</v>
      </c>
      <c r="B43">
        <v>0</v>
      </c>
      <c r="C43">
        <v>1</v>
      </c>
      <c r="D43">
        <v>1</v>
      </c>
      <c r="E43">
        <v>8</v>
      </c>
      <c r="F43">
        <v>1</v>
      </c>
      <c r="G43">
        <v>0.25</v>
      </c>
      <c r="H43">
        <v>2</v>
      </c>
      <c r="I43">
        <v>2</v>
      </c>
      <c r="J43">
        <v>0.5</v>
      </c>
      <c r="K43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A6AE0-2D20-45EB-9B53-9BB08EC375AD}">
  <dimension ref="A1:K43"/>
  <sheetViews>
    <sheetView topLeftCell="A13" workbookViewId="0">
      <selection activeCell="K37" sqref="H32:K37"/>
    </sheetView>
  </sheetViews>
  <sheetFormatPr defaultRowHeight="14.4" x14ac:dyDescent="0.3"/>
  <cols>
    <col min="1" max="1" width="14.109375" bestFit="1" customWidth="1"/>
    <col min="2" max="2" width="5.6640625" bestFit="1" customWidth="1"/>
    <col min="3" max="3" width="12.21875" bestFit="1" customWidth="1"/>
    <col min="4" max="4" width="14.33203125" bestFit="1" customWidth="1"/>
    <col min="5" max="5" width="15.5546875" bestFit="1" customWidth="1"/>
    <col min="6" max="6" width="10.109375" bestFit="1" customWidth="1"/>
    <col min="7" max="7" width="9.33203125" bestFit="1" customWidth="1"/>
    <col min="8" max="9" width="9.88671875" bestFit="1" customWidth="1"/>
    <col min="10" max="10" width="11.21875" bestFit="1" customWidth="1"/>
    <col min="11" max="11" width="16.33203125" bestFit="1" customWidth="1"/>
  </cols>
  <sheetData>
    <row r="1" spans="1:11" x14ac:dyDescent="0.3">
      <c r="A1" s="1" t="s">
        <v>47</v>
      </c>
      <c r="B1" s="1" t="s">
        <v>143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155</v>
      </c>
      <c r="I1" s="1" t="s">
        <v>156</v>
      </c>
      <c r="J1" s="1" t="s">
        <v>157</v>
      </c>
      <c r="K1" s="1" t="s">
        <v>158</v>
      </c>
    </row>
    <row r="2" spans="1:11" x14ac:dyDescent="0.3">
      <c r="A2" t="s">
        <v>48</v>
      </c>
      <c r="B2">
        <v>0</v>
      </c>
      <c r="C2">
        <v>64</v>
      </c>
      <c r="D2">
        <v>8</v>
      </c>
      <c r="E2">
        <v>512</v>
      </c>
      <c r="F2">
        <v>4</v>
      </c>
      <c r="G2">
        <v>1</v>
      </c>
      <c r="H2" t="s">
        <v>176</v>
      </c>
      <c r="I2" t="s">
        <v>176</v>
      </c>
      <c r="J2" t="s">
        <v>176</v>
      </c>
      <c r="K2" t="s">
        <v>176</v>
      </c>
    </row>
    <row r="3" spans="1:11" x14ac:dyDescent="0.3">
      <c r="A3" t="s">
        <v>49</v>
      </c>
      <c r="B3">
        <v>0</v>
      </c>
      <c r="C3">
        <v>32</v>
      </c>
      <c r="D3">
        <v>8</v>
      </c>
      <c r="E3">
        <v>512</v>
      </c>
      <c r="F3">
        <v>8</v>
      </c>
      <c r="G3">
        <v>1</v>
      </c>
      <c r="H3" t="s">
        <v>176</v>
      </c>
      <c r="I3" t="s">
        <v>176</v>
      </c>
      <c r="J3" t="s">
        <v>176</v>
      </c>
      <c r="K3" t="s">
        <v>176</v>
      </c>
    </row>
    <row r="4" spans="1:11" x14ac:dyDescent="0.3">
      <c r="A4" t="s">
        <v>50</v>
      </c>
      <c r="B4">
        <v>0</v>
      </c>
      <c r="C4">
        <v>32</v>
      </c>
      <c r="D4">
        <v>16</v>
      </c>
      <c r="E4">
        <v>1024</v>
      </c>
      <c r="F4">
        <v>8</v>
      </c>
      <c r="G4">
        <v>1</v>
      </c>
      <c r="H4" t="s">
        <v>176</v>
      </c>
      <c r="I4" t="s">
        <v>176</v>
      </c>
      <c r="J4" t="s">
        <v>176</v>
      </c>
      <c r="K4" t="s">
        <v>176</v>
      </c>
    </row>
    <row r="5" spans="1:11" x14ac:dyDescent="0.3">
      <c r="A5" t="s">
        <v>54</v>
      </c>
      <c r="B5">
        <v>0</v>
      </c>
      <c r="C5">
        <v>2</v>
      </c>
      <c r="D5">
        <v>1</v>
      </c>
      <c r="E5">
        <v>8</v>
      </c>
      <c r="F5">
        <v>4</v>
      </c>
      <c r="G5">
        <v>0.5</v>
      </c>
      <c r="H5" t="s">
        <v>176</v>
      </c>
      <c r="I5" t="s">
        <v>176</v>
      </c>
      <c r="J5" t="s">
        <v>176</v>
      </c>
      <c r="K5" t="s">
        <v>176</v>
      </c>
    </row>
    <row r="6" spans="1:11" x14ac:dyDescent="0.3">
      <c r="A6" t="s">
        <v>55</v>
      </c>
      <c r="B6">
        <v>0</v>
      </c>
      <c r="C6">
        <v>2</v>
      </c>
      <c r="D6">
        <v>2</v>
      </c>
      <c r="E6">
        <v>4</v>
      </c>
      <c r="F6">
        <v>0.5</v>
      </c>
      <c r="G6">
        <v>0.25</v>
      </c>
      <c r="H6" t="s">
        <v>176</v>
      </c>
      <c r="I6" t="s">
        <v>176</v>
      </c>
      <c r="J6" t="s">
        <v>176</v>
      </c>
      <c r="K6" t="s">
        <v>176</v>
      </c>
    </row>
    <row r="7" spans="1:11" x14ac:dyDescent="0.3">
      <c r="A7" t="s">
        <v>56</v>
      </c>
      <c r="B7">
        <v>0</v>
      </c>
      <c r="C7">
        <v>4</v>
      </c>
      <c r="D7">
        <v>2</v>
      </c>
      <c r="E7">
        <v>8</v>
      </c>
      <c r="F7">
        <v>2</v>
      </c>
      <c r="G7">
        <v>0.5</v>
      </c>
      <c r="H7" t="s">
        <v>176</v>
      </c>
      <c r="I7" t="s">
        <v>176</v>
      </c>
      <c r="J7" t="s">
        <v>176</v>
      </c>
      <c r="K7" t="s">
        <v>176</v>
      </c>
    </row>
    <row r="8" spans="1:11" x14ac:dyDescent="0.3">
      <c r="A8" t="s">
        <v>60</v>
      </c>
      <c r="B8">
        <v>1</v>
      </c>
      <c r="C8">
        <v>4</v>
      </c>
      <c r="D8">
        <v>4</v>
      </c>
      <c r="E8">
        <v>1024</v>
      </c>
      <c r="F8">
        <v>2</v>
      </c>
      <c r="G8">
        <v>0.5</v>
      </c>
      <c r="H8" t="s">
        <v>176</v>
      </c>
      <c r="I8" t="s">
        <v>176</v>
      </c>
      <c r="J8" t="s">
        <v>176</v>
      </c>
      <c r="K8" t="s">
        <v>176</v>
      </c>
    </row>
    <row r="9" spans="1:11" x14ac:dyDescent="0.3">
      <c r="A9" t="s">
        <v>61</v>
      </c>
      <c r="B9">
        <v>0</v>
      </c>
      <c r="C9">
        <v>16</v>
      </c>
      <c r="D9">
        <v>16</v>
      </c>
      <c r="E9">
        <v>1024</v>
      </c>
      <c r="F9">
        <v>8</v>
      </c>
      <c r="G9">
        <v>1</v>
      </c>
      <c r="H9" t="s">
        <v>176</v>
      </c>
      <c r="I9" t="s">
        <v>176</v>
      </c>
      <c r="J9" t="s">
        <v>176</v>
      </c>
      <c r="K9" t="s">
        <v>176</v>
      </c>
    </row>
    <row r="10" spans="1:11" x14ac:dyDescent="0.3">
      <c r="A10" t="s">
        <v>62</v>
      </c>
      <c r="B10">
        <v>0</v>
      </c>
      <c r="C10">
        <v>32</v>
      </c>
      <c r="D10">
        <v>16</v>
      </c>
      <c r="E10">
        <v>512</v>
      </c>
      <c r="F10">
        <v>8</v>
      </c>
      <c r="G10">
        <v>1</v>
      </c>
      <c r="H10" t="s">
        <v>176</v>
      </c>
      <c r="I10" t="s">
        <v>176</v>
      </c>
      <c r="J10" t="s">
        <v>176</v>
      </c>
      <c r="K10" t="s">
        <v>176</v>
      </c>
    </row>
    <row r="11" spans="1:11" x14ac:dyDescent="0.3">
      <c r="A11" t="s">
        <v>66</v>
      </c>
      <c r="B11">
        <v>0</v>
      </c>
      <c r="C11">
        <v>16</v>
      </c>
      <c r="D11">
        <v>8</v>
      </c>
      <c r="E11">
        <v>512</v>
      </c>
      <c r="F11">
        <v>4</v>
      </c>
      <c r="G11">
        <v>0.5</v>
      </c>
      <c r="H11" t="s">
        <v>176</v>
      </c>
      <c r="I11" t="s">
        <v>176</v>
      </c>
      <c r="J11" t="s">
        <v>176</v>
      </c>
      <c r="K11" t="s">
        <v>176</v>
      </c>
    </row>
    <row r="12" spans="1:11" x14ac:dyDescent="0.3">
      <c r="A12" t="s">
        <v>67</v>
      </c>
      <c r="B12">
        <v>1</v>
      </c>
      <c r="C12">
        <v>16</v>
      </c>
      <c r="D12">
        <v>8</v>
      </c>
      <c r="E12">
        <v>128</v>
      </c>
      <c r="F12">
        <v>4</v>
      </c>
      <c r="G12">
        <v>0.5</v>
      </c>
      <c r="H12" t="s">
        <v>176</v>
      </c>
      <c r="I12" t="s">
        <v>176</v>
      </c>
      <c r="J12" t="s">
        <v>176</v>
      </c>
      <c r="K12" t="s">
        <v>176</v>
      </c>
    </row>
    <row r="13" spans="1:11" x14ac:dyDescent="0.3">
      <c r="A13" t="s">
        <v>68</v>
      </c>
      <c r="B13">
        <v>1</v>
      </c>
      <c r="C13">
        <v>16</v>
      </c>
      <c r="D13">
        <v>8</v>
      </c>
      <c r="E13">
        <v>256</v>
      </c>
      <c r="F13">
        <v>4</v>
      </c>
      <c r="G13">
        <v>1</v>
      </c>
      <c r="H13" t="s">
        <v>176</v>
      </c>
      <c r="I13" t="s">
        <v>176</v>
      </c>
      <c r="J13" t="s">
        <v>176</v>
      </c>
      <c r="K13" t="s">
        <v>176</v>
      </c>
    </row>
    <row r="14" spans="1:11" x14ac:dyDescent="0.3">
      <c r="A14" t="s">
        <v>160</v>
      </c>
      <c r="B14">
        <v>0</v>
      </c>
      <c r="C14">
        <v>0.25</v>
      </c>
      <c r="D14">
        <v>0.5</v>
      </c>
      <c r="E14">
        <v>8</v>
      </c>
      <c r="F14">
        <v>0.5</v>
      </c>
      <c r="G14">
        <v>0.125</v>
      </c>
      <c r="H14" t="s">
        <v>176</v>
      </c>
      <c r="I14" t="s">
        <v>176</v>
      </c>
      <c r="J14" t="s">
        <v>176</v>
      </c>
      <c r="K14" t="s">
        <v>176</v>
      </c>
    </row>
    <row r="15" spans="1:11" x14ac:dyDescent="0.3">
      <c r="A15" t="s">
        <v>161</v>
      </c>
      <c r="B15">
        <v>0</v>
      </c>
      <c r="C15">
        <v>1</v>
      </c>
      <c r="D15">
        <v>0.5</v>
      </c>
      <c r="E15">
        <v>4</v>
      </c>
      <c r="F15">
        <v>0.5</v>
      </c>
      <c r="G15">
        <v>0.125</v>
      </c>
      <c r="H15" t="s">
        <v>176</v>
      </c>
      <c r="I15" t="s">
        <v>176</v>
      </c>
      <c r="J15" t="s">
        <v>176</v>
      </c>
      <c r="K15" t="s">
        <v>176</v>
      </c>
    </row>
    <row r="16" spans="1:11" x14ac:dyDescent="0.3">
      <c r="A16" t="s">
        <v>162</v>
      </c>
      <c r="B16">
        <v>0</v>
      </c>
      <c r="C16">
        <v>0.5</v>
      </c>
      <c r="D16">
        <v>0.5</v>
      </c>
      <c r="E16">
        <v>8</v>
      </c>
      <c r="F16">
        <v>0.5</v>
      </c>
      <c r="G16">
        <v>0.25</v>
      </c>
      <c r="H16" t="s">
        <v>176</v>
      </c>
      <c r="I16" t="s">
        <v>176</v>
      </c>
      <c r="J16" t="s">
        <v>176</v>
      </c>
      <c r="K16" t="s">
        <v>176</v>
      </c>
    </row>
    <row r="17" spans="1:11" x14ac:dyDescent="0.3">
      <c r="A17" t="s">
        <v>75</v>
      </c>
      <c r="B17">
        <v>0</v>
      </c>
      <c r="C17">
        <v>2</v>
      </c>
      <c r="D17">
        <v>1</v>
      </c>
      <c r="E17">
        <v>8</v>
      </c>
      <c r="F17">
        <v>0.5</v>
      </c>
      <c r="G17">
        <v>0.25</v>
      </c>
      <c r="H17" t="s">
        <v>176</v>
      </c>
      <c r="I17" t="s">
        <v>176</v>
      </c>
      <c r="J17" t="s">
        <v>176</v>
      </c>
      <c r="K17" t="s">
        <v>176</v>
      </c>
    </row>
    <row r="18" spans="1:11" x14ac:dyDescent="0.3">
      <c r="A18" t="s">
        <v>76</v>
      </c>
      <c r="B18">
        <v>0</v>
      </c>
      <c r="C18">
        <v>4</v>
      </c>
      <c r="D18">
        <v>2</v>
      </c>
      <c r="E18">
        <v>128</v>
      </c>
      <c r="F18">
        <v>1</v>
      </c>
      <c r="G18">
        <v>0.25</v>
      </c>
      <c r="H18" t="s">
        <v>176</v>
      </c>
      <c r="I18" t="s">
        <v>176</v>
      </c>
      <c r="J18" t="s">
        <v>176</v>
      </c>
      <c r="K18" t="s">
        <v>176</v>
      </c>
    </row>
    <row r="19" spans="1:11" x14ac:dyDescent="0.3">
      <c r="A19" t="s">
        <v>77</v>
      </c>
      <c r="B19">
        <v>0</v>
      </c>
      <c r="C19">
        <v>1</v>
      </c>
      <c r="D19">
        <v>1</v>
      </c>
      <c r="E19">
        <v>8</v>
      </c>
      <c r="F19">
        <v>0.5</v>
      </c>
      <c r="G19">
        <v>0.125</v>
      </c>
      <c r="H19" t="s">
        <v>176</v>
      </c>
      <c r="I19" t="s">
        <v>176</v>
      </c>
      <c r="J19" t="s">
        <v>176</v>
      </c>
      <c r="K19" t="s">
        <v>176</v>
      </c>
    </row>
    <row r="20" spans="1:11" x14ac:dyDescent="0.3">
      <c r="A20" t="s">
        <v>78</v>
      </c>
      <c r="B20">
        <v>1</v>
      </c>
      <c r="C20">
        <v>2</v>
      </c>
      <c r="D20">
        <v>1</v>
      </c>
      <c r="E20">
        <v>8</v>
      </c>
      <c r="F20">
        <v>4</v>
      </c>
      <c r="G20">
        <v>0.5</v>
      </c>
      <c r="H20" t="s">
        <v>176</v>
      </c>
      <c r="I20" t="s">
        <v>176</v>
      </c>
      <c r="J20" t="s">
        <v>176</v>
      </c>
      <c r="K20" t="s">
        <v>176</v>
      </c>
    </row>
    <row r="21" spans="1:11" x14ac:dyDescent="0.3">
      <c r="A21" t="s">
        <v>79</v>
      </c>
      <c r="B21">
        <v>1</v>
      </c>
      <c r="C21">
        <v>2</v>
      </c>
      <c r="D21">
        <v>2</v>
      </c>
      <c r="E21">
        <v>16</v>
      </c>
      <c r="F21">
        <v>4</v>
      </c>
      <c r="G21">
        <v>0.5</v>
      </c>
      <c r="H21" t="s">
        <v>176</v>
      </c>
      <c r="I21" t="s">
        <v>176</v>
      </c>
      <c r="J21" t="s">
        <v>176</v>
      </c>
      <c r="K21" t="s">
        <v>176</v>
      </c>
    </row>
    <row r="22" spans="1:11" x14ac:dyDescent="0.3">
      <c r="A22" t="s">
        <v>80</v>
      </c>
      <c r="B22">
        <v>1</v>
      </c>
      <c r="C22">
        <v>4</v>
      </c>
      <c r="D22">
        <v>2</v>
      </c>
      <c r="E22">
        <v>16</v>
      </c>
      <c r="F22">
        <v>4</v>
      </c>
      <c r="G22">
        <v>0.5</v>
      </c>
      <c r="H22" t="s">
        <v>176</v>
      </c>
      <c r="I22" t="s">
        <v>176</v>
      </c>
      <c r="J22" t="s">
        <v>176</v>
      </c>
      <c r="K22" t="s">
        <v>176</v>
      </c>
    </row>
    <row r="23" spans="1:11" x14ac:dyDescent="0.3">
      <c r="A23" t="s">
        <v>84</v>
      </c>
      <c r="B23">
        <v>1</v>
      </c>
      <c r="C23">
        <v>16</v>
      </c>
      <c r="D23">
        <v>4</v>
      </c>
      <c r="E23">
        <v>16</v>
      </c>
      <c r="F23">
        <v>4</v>
      </c>
      <c r="G23">
        <v>0.5</v>
      </c>
      <c r="H23" t="s">
        <v>176</v>
      </c>
      <c r="I23" t="s">
        <v>176</v>
      </c>
      <c r="J23" t="s">
        <v>176</v>
      </c>
      <c r="K23" t="s">
        <v>176</v>
      </c>
    </row>
    <row r="24" spans="1:11" x14ac:dyDescent="0.3">
      <c r="A24" t="s">
        <v>85</v>
      </c>
      <c r="B24">
        <v>1</v>
      </c>
      <c r="C24">
        <v>16</v>
      </c>
      <c r="D24">
        <v>8</v>
      </c>
      <c r="E24">
        <v>16</v>
      </c>
      <c r="F24">
        <v>8</v>
      </c>
      <c r="G24">
        <v>0.5</v>
      </c>
      <c r="H24" t="s">
        <v>176</v>
      </c>
      <c r="I24" t="s">
        <v>176</v>
      </c>
      <c r="J24" t="s">
        <v>176</v>
      </c>
      <c r="K24" t="s">
        <v>176</v>
      </c>
    </row>
    <row r="25" spans="1:11" x14ac:dyDescent="0.3">
      <c r="A25" t="s">
        <v>86</v>
      </c>
      <c r="B25">
        <v>1</v>
      </c>
      <c r="C25">
        <v>4</v>
      </c>
      <c r="D25">
        <v>1</v>
      </c>
      <c r="E25">
        <v>4</v>
      </c>
      <c r="F25">
        <v>2</v>
      </c>
      <c r="G25">
        <v>0.25</v>
      </c>
      <c r="H25" t="s">
        <v>176</v>
      </c>
      <c r="I25" t="s">
        <v>176</v>
      </c>
      <c r="J25" t="s">
        <v>176</v>
      </c>
      <c r="K25" t="s">
        <v>176</v>
      </c>
    </row>
    <row r="26" spans="1:11" x14ac:dyDescent="0.3">
      <c r="A26" t="s">
        <v>87</v>
      </c>
      <c r="B26">
        <v>1</v>
      </c>
      <c r="C26" t="s">
        <v>176</v>
      </c>
      <c r="D26" t="s">
        <v>176</v>
      </c>
      <c r="E26" t="s">
        <v>176</v>
      </c>
      <c r="F26" t="s">
        <v>176</v>
      </c>
      <c r="G26" t="s">
        <v>176</v>
      </c>
      <c r="H26">
        <v>4</v>
      </c>
      <c r="I26">
        <v>8</v>
      </c>
      <c r="J26">
        <v>16</v>
      </c>
      <c r="K26">
        <v>8</v>
      </c>
    </row>
    <row r="27" spans="1:11" x14ac:dyDescent="0.3">
      <c r="A27" t="s">
        <v>88</v>
      </c>
      <c r="B27">
        <v>1</v>
      </c>
      <c r="C27" t="s">
        <v>176</v>
      </c>
      <c r="D27" t="s">
        <v>176</v>
      </c>
      <c r="E27" t="s">
        <v>176</v>
      </c>
      <c r="F27" t="s">
        <v>176</v>
      </c>
      <c r="G27" t="s">
        <v>176</v>
      </c>
      <c r="H27">
        <v>8</v>
      </c>
      <c r="I27">
        <v>8</v>
      </c>
      <c r="J27">
        <v>8</v>
      </c>
      <c r="K27">
        <v>4</v>
      </c>
    </row>
    <row r="28" spans="1:11" x14ac:dyDescent="0.3">
      <c r="A28" t="s">
        <v>89</v>
      </c>
      <c r="B28">
        <v>1</v>
      </c>
      <c r="C28" t="s">
        <v>176</v>
      </c>
      <c r="D28" t="s">
        <v>176</v>
      </c>
      <c r="E28" t="s">
        <v>176</v>
      </c>
      <c r="F28" t="s">
        <v>176</v>
      </c>
      <c r="G28" t="s">
        <v>176</v>
      </c>
      <c r="H28">
        <v>4</v>
      </c>
      <c r="I28">
        <v>4</v>
      </c>
      <c r="J28">
        <v>4</v>
      </c>
      <c r="K28">
        <v>4</v>
      </c>
    </row>
    <row r="29" spans="1:11" x14ac:dyDescent="0.3">
      <c r="A29" t="s">
        <v>90</v>
      </c>
      <c r="B29">
        <v>1</v>
      </c>
      <c r="C29" t="s">
        <v>176</v>
      </c>
      <c r="D29" t="s">
        <v>176</v>
      </c>
      <c r="E29" t="s">
        <v>176</v>
      </c>
      <c r="F29" t="s">
        <v>176</v>
      </c>
      <c r="G29" t="s">
        <v>176</v>
      </c>
      <c r="H29">
        <v>4</v>
      </c>
      <c r="I29">
        <v>8</v>
      </c>
      <c r="J29">
        <v>1</v>
      </c>
      <c r="K29">
        <v>2</v>
      </c>
    </row>
    <row r="30" spans="1:11" x14ac:dyDescent="0.3">
      <c r="A30" t="s">
        <v>91</v>
      </c>
      <c r="B30">
        <v>1</v>
      </c>
      <c r="C30" t="s">
        <v>176</v>
      </c>
      <c r="D30" t="s">
        <v>176</v>
      </c>
      <c r="E30" t="s">
        <v>176</v>
      </c>
      <c r="F30" t="s">
        <v>176</v>
      </c>
      <c r="G30" t="s">
        <v>176</v>
      </c>
      <c r="H30">
        <v>4</v>
      </c>
      <c r="I30">
        <v>8</v>
      </c>
      <c r="J30">
        <v>1</v>
      </c>
      <c r="K30">
        <v>2</v>
      </c>
    </row>
    <row r="31" spans="1:11" x14ac:dyDescent="0.3">
      <c r="A31" t="s">
        <v>92</v>
      </c>
      <c r="B31">
        <v>1</v>
      </c>
      <c r="C31" t="s">
        <v>176</v>
      </c>
      <c r="D31" t="s">
        <v>176</v>
      </c>
      <c r="E31" t="s">
        <v>176</v>
      </c>
      <c r="F31" t="s">
        <v>176</v>
      </c>
      <c r="G31" t="s">
        <v>176</v>
      </c>
      <c r="H31">
        <v>8</v>
      </c>
      <c r="I31">
        <v>8</v>
      </c>
      <c r="J31">
        <v>1</v>
      </c>
      <c r="K31">
        <v>2</v>
      </c>
    </row>
    <row r="32" spans="1:11" x14ac:dyDescent="0.3">
      <c r="A32" t="s">
        <v>108</v>
      </c>
      <c r="B32">
        <v>0</v>
      </c>
      <c r="C32">
        <v>0.5</v>
      </c>
      <c r="D32">
        <v>1</v>
      </c>
      <c r="E32">
        <v>2</v>
      </c>
      <c r="F32">
        <v>4</v>
      </c>
      <c r="G32">
        <v>0.5</v>
      </c>
      <c r="H32" t="s">
        <v>176</v>
      </c>
      <c r="I32" t="s">
        <v>176</v>
      </c>
      <c r="J32" t="s">
        <v>176</v>
      </c>
      <c r="K32" t="s">
        <v>176</v>
      </c>
    </row>
    <row r="33" spans="1:11" x14ac:dyDescent="0.3">
      <c r="A33" t="s">
        <v>109</v>
      </c>
      <c r="B33">
        <v>1</v>
      </c>
      <c r="C33">
        <v>2</v>
      </c>
      <c r="D33">
        <v>1</v>
      </c>
      <c r="E33">
        <v>8</v>
      </c>
      <c r="F33">
        <v>8</v>
      </c>
      <c r="G33">
        <v>1</v>
      </c>
      <c r="H33" t="s">
        <v>176</v>
      </c>
      <c r="I33" t="s">
        <v>176</v>
      </c>
      <c r="J33" t="s">
        <v>176</v>
      </c>
      <c r="K33" t="s">
        <v>176</v>
      </c>
    </row>
    <row r="34" spans="1:11" x14ac:dyDescent="0.3">
      <c r="A34" t="s">
        <v>110</v>
      </c>
      <c r="B34">
        <v>0</v>
      </c>
      <c r="C34">
        <v>1</v>
      </c>
      <c r="D34">
        <v>2</v>
      </c>
      <c r="E34">
        <v>4</v>
      </c>
      <c r="F34">
        <v>8</v>
      </c>
      <c r="G34">
        <v>1</v>
      </c>
      <c r="H34" t="s">
        <v>176</v>
      </c>
      <c r="I34" t="s">
        <v>176</v>
      </c>
      <c r="J34" t="s">
        <v>176</v>
      </c>
      <c r="K34" t="s">
        <v>176</v>
      </c>
    </row>
    <row r="35" spans="1:11" x14ac:dyDescent="0.3">
      <c r="A35" t="s">
        <v>111</v>
      </c>
      <c r="B35">
        <v>1</v>
      </c>
      <c r="C35">
        <v>4</v>
      </c>
      <c r="D35">
        <v>2</v>
      </c>
      <c r="E35">
        <v>8</v>
      </c>
      <c r="F35">
        <v>2</v>
      </c>
      <c r="G35">
        <v>0.5</v>
      </c>
      <c r="H35" t="s">
        <v>176</v>
      </c>
      <c r="I35" t="s">
        <v>176</v>
      </c>
      <c r="J35" t="s">
        <v>176</v>
      </c>
      <c r="K35" t="s">
        <v>176</v>
      </c>
    </row>
    <row r="36" spans="1:11" x14ac:dyDescent="0.3">
      <c r="A36" t="s">
        <v>112</v>
      </c>
      <c r="B36">
        <v>1</v>
      </c>
      <c r="C36">
        <v>4</v>
      </c>
      <c r="D36">
        <v>1</v>
      </c>
      <c r="E36">
        <v>8</v>
      </c>
      <c r="F36">
        <v>2</v>
      </c>
      <c r="G36">
        <v>0.5</v>
      </c>
      <c r="H36" t="s">
        <v>176</v>
      </c>
      <c r="I36" t="s">
        <v>176</v>
      </c>
      <c r="J36" t="s">
        <v>176</v>
      </c>
      <c r="K36" t="s">
        <v>176</v>
      </c>
    </row>
    <row r="37" spans="1:11" x14ac:dyDescent="0.3">
      <c r="A37" t="s">
        <v>113</v>
      </c>
      <c r="B37">
        <v>1</v>
      </c>
      <c r="C37">
        <v>4</v>
      </c>
      <c r="D37">
        <v>1</v>
      </c>
      <c r="E37">
        <v>8</v>
      </c>
      <c r="F37">
        <v>2</v>
      </c>
      <c r="G37">
        <v>0.5</v>
      </c>
      <c r="H37" t="s">
        <v>176</v>
      </c>
      <c r="I37" t="s">
        <v>176</v>
      </c>
      <c r="J37" t="s">
        <v>176</v>
      </c>
      <c r="K37" t="s">
        <v>176</v>
      </c>
    </row>
    <row r="38" spans="1:11" x14ac:dyDescent="0.3">
      <c r="A38" t="s">
        <v>123</v>
      </c>
      <c r="B38">
        <v>0</v>
      </c>
      <c r="C38">
        <v>2</v>
      </c>
      <c r="D38">
        <v>1</v>
      </c>
      <c r="E38">
        <v>4</v>
      </c>
      <c r="F38">
        <v>1</v>
      </c>
      <c r="G38">
        <v>0.5</v>
      </c>
      <c r="H38">
        <v>2</v>
      </c>
      <c r="I38">
        <v>4</v>
      </c>
      <c r="J38">
        <v>1</v>
      </c>
      <c r="K38">
        <v>1</v>
      </c>
    </row>
    <row r="39" spans="1:11" x14ac:dyDescent="0.3">
      <c r="A39" t="s">
        <v>124</v>
      </c>
      <c r="B39">
        <v>0</v>
      </c>
      <c r="C39">
        <v>2</v>
      </c>
      <c r="D39">
        <v>1</v>
      </c>
      <c r="E39">
        <v>4</v>
      </c>
      <c r="F39">
        <v>1</v>
      </c>
      <c r="G39">
        <v>0.5</v>
      </c>
      <c r="H39">
        <v>2</v>
      </c>
      <c r="I39">
        <v>4</v>
      </c>
      <c r="J39">
        <v>1</v>
      </c>
      <c r="K39">
        <v>2</v>
      </c>
    </row>
    <row r="40" spans="1:11" x14ac:dyDescent="0.3">
      <c r="A40" t="s">
        <v>124</v>
      </c>
      <c r="B40">
        <v>0</v>
      </c>
      <c r="C40">
        <v>1</v>
      </c>
      <c r="D40">
        <v>1</v>
      </c>
      <c r="E40">
        <v>4</v>
      </c>
      <c r="F40">
        <v>1</v>
      </c>
      <c r="G40">
        <v>0.5</v>
      </c>
      <c r="H40">
        <v>2</v>
      </c>
      <c r="I40">
        <v>2</v>
      </c>
      <c r="J40">
        <v>1</v>
      </c>
      <c r="K40">
        <v>1</v>
      </c>
    </row>
    <row r="41" spans="1:11" x14ac:dyDescent="0.3">
      <c r="A41" t="s">
        <v>125</v>
      </c>
      <c r="B41">
        <v>0</v>
      </c>
      <c r="C41">
        <v>0.5</v>
      </c>
      <c r="D41">
        <v>1</v>
      </c>
      <c r="E41">
        <v>8</v>
      </c>
      <c r="F41">
        <v>1</v>
      </c>
      <c r="G41">
        <v>0.25</v>
      </c>
      <c r="H41">
        <v>2</v>
      </c>
      <c r="I41">
        <v>2</v>
      </c>
      <c r="J41">
        <v>1</v>
      </c>
      <c r="K41">
        <v>0.5</v>
      </c>
    </row>
    <row r="42" spans="1:11" x14ac:dyDescent="0.3">
      <c r="A42" t="s">
        <v>126</v>
      </c>
      <c r="B42">
        <v>0</v>
      </c>
      <c r="C42">
        <v>0.5</v>
      </c>
      <c r="D42">
        <v>2</v>
      </c>
      <c r="E42">
        <v>8</v>
      </c>
      <c r="F42">
        <v>0.5</v>
      </c>
      <c r="G42">
        <v>0.125</v>
      </c>
      <c r="H42">
        <v>2</v>
      </c>
      <c r="I42">
        <v>2</v>
      </c>
      <c r="J42">
        <v>0.5</v>
      </c>
      <c r="K42">
        <v>0.5</v>
      </c>
    </row>
    <row r="43" spans="1:11" x14ac:dyDescent="0.3">
      <c r="A43" t="s">
        <v>127</v>
      </c>
      <c r="B43">
        <v>0</v>
      </c>
      <c r="C43">
        <v>1</v>
      </c>
      <c r="D43">
        <v>1</v>
      </c>
      <c r="E43">
        <v>8</v>
      </c>
      <c r="F43">
        <v>1</v>
      </c>
      <c r="G43">
        <v>0.25</v>
      </c>
      <c r="H43">
        <v>2</v>
      </c>
      <c r="I43">
        <v>2</v>
      </c>
      <c r="J43">
        <v>0.5</v>
      </c>
      <c r="K43">
        <v>0.5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C1687-2C42-4757-9FA9-8B1ED8C870DE}">
  <dimension ref="A1:G55"/>
  <sheetViews>
    <sheetView tabSelected="1" workbookViewId="0">
      <selection activeCell="L28" sqref="L28"/>
    </sheetView>
  </sheetViews>
  <sheetFormatPr defaultRowHeight="14.4" x14ac:dyDescent="0.3"/>
  <cols>
    <col min="1" max="1" width="15" bestFit="1" customWidth="1"/>
    <col min="2" max="2" width="12" bestFit="1" customWidth="1"/>
    <col min="3" max="3" width="4.6640625" bestFit="1" customWidth="1"/>
    <col min="4" max="4" width="5.6640625" bestFit="1" customWidth="1"/>
    <col min="5" max="5" width="5" bestFit="1" customWidth="1"/>
    <col min="6" max="6" width="4.88671875" bestFit="1" customWidth="1"/>
    <col min="7" max="7" width="10.21875" bestFit="1" customWidth="1"/>
  </cols>
  <sheetData>
    <row r="1" spans="1:7" x14ac:dyDescent="0.3">
      <c r="A1" s="1" t="s">
        <v>47</v>
      </c>
      <c r="B1" s="1" t="s">
        <v>130</v>
      </c>
      <c r="C1" s="1" t="s">
        <v>138</v>
      </c>
      <c r="D1" s="1" t="s">
        <v>143</v>
      </c>
      <c r="E1" s="1" t="s">
        <v>131</v>
      </c>
      <c r="F1" s="1" t="s">
        <v>139</v>
      </c>
      <c r="G1" s="1" t="s">
        <v>159</v>
      </c>
    </row>
    <row r="2" spans="1:7" x14ac:dyDescent="0.3">
      <c r="A2" t="s">
        <v>48</v>
      </c>
      <c r="B2">
        <v>1.2123893809999999</v>
      </c>
      <c r="C2">
        <v>1</v>
      </c>
      <c r="D2">
        <v>0</v>
      </c>
      <c r="E2">
        <v>1</v>
      </c>
      <c r="F2">
        <v>0</v>
      </c>
      <c r="G2">
        <v>0</v>
      </c>
    </row>
    <row r="3" spans="1:7" x14ac:dyDescent="0.3">
      <c r="A3" t="s">
        <v>49</v>
      </c>
      <c r="B3">
        <v>0.94368463400000002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3">
      <c r="A4" t="s">
        <v>50</v>
      </c>
      <c r="B4">
        <v>1.5205148829999999</v>
      </c>
      <c r="C4">
        <v>1</v>
      </c>
      <c r="D4">
        <v>0</v>
      </c>
      <c r="E4">
        <v>1</v>
      </c>
      <c r="F4">
        <v>0</v>
      </c>
      <c r="G4">
        <v>1</v>
      </c>
    </row>
    <row r="5" spans="1:7" x14ac:dyDescent="0.3">
      <c r="A5" t="s">
        <v>54</v>
      </c>
      <c r="B5">
        <v>0.89621882500000005</v>
      </c>
      <c r="C5">
        <v>1</v>
      </c>
      <c r="D5">
        <v>0</v>
      </c>
      <c r="E5">
        <v>0</v>
      </c>
      <c r="F5">
        <v>0</v>
      </c>
      <c r="G5">
        <v>0</v>
      </c>
    </row>
    <row r="6" spans="1:7" x14ac:dyDescent="0.3">
      <c r="A6" t="s">
        <v>55</v>
      </c>
      <c r="B6">
        <v>1.1520514879999999</v>
      </c>
      <c r="C6">
        <v>1</v>
      </c>
      <c r="D6">
        <v>0</v>
      </c>
      <c r="E6">
        <v>0</v>
      </c>
      <c r="F6">
        <v>0</v>
      </c>
      <c r="G6">
        <v>1</v>
      </c>
    </row>
    <row r="7" spans="1:7" x14ac:dyDescent="0.3">
      <c r="A7" t="s">
        <v>56</v>
      </c>
      <c r="B7">
        <v>0.83185840700000002</v>
      </c>
      <c r="C7">
        <v>1</v>
      </c>
      <c r="D7">
        <v>0</v>
      </c>
      <c r="E7">
        <v>0</v>
      </c>
      <c r="F7">
        <v>1</v>
      </c>
      <c r="G7">
        <v>1</v>
      </c>
    </row>
    <row r="8" spans="1:7" x14ac:dyDescent="0.3">
      <c r="A8" t="s">
        <v>60</v>
      </c>
      <c r="B8">
        <v>2.9975864840000002</v>
      </c>
      <c r="C8">
        <v>0</v>
      </c>
      <c r="D8">
        <v>1</v>
      </c>
      <c r="E8">
        <v>1</v>
      </c>
      <c r="F8">
        <v>0</v>
      </c>
      <c r="G8">
        <v>1</v>
      </c>
    </row>
    <row r="9" spans="1:7" x14ac:dyDescent="0.3">
      <c r="A9" t="s">
        <v>61</v>
      </c>
      <c r="B9">
        <v>3.7522123889999999</v>
      </c>
      <c r="C9">
        <v>0</v>
      </c>
      <c r="D9">
        <v>0</v>
      </c>
      <c r="E9">
        <v>1</v>
      </c>
      <c r="F9">
        <v>0</v>
      </c>
      <c r="G9">
        <v>0</v>
      </c>
    </row>
    <row r="10" spans="1:7" x14ac:dyDescent="0.3">
      <c r="A10" t="s">
        <v>62</v>
      </c>
      <c r="B10">
        <v>1.9292035400000001</v>
      </c>
      <c r="C10">
        <v>0</v>
      </c>
      <c r="D10">
        <v>0</v>
      </c>
      <c r="E10">
        <v>1</v>
      </c>
      <c r="F10">
        <v>0</v>
      </c>
      <c r="G10">
        <v>0</v>
      </c>
    </row>
    <row r="11" spans="1:7" x14ac:dyDescent="0.3">
      <c r="A11" t="s">
        <v>66</v>
      </c>
      <c r="B11">
        <v>1.047465809</v>
      </c>
      <c r="C11">
        <v>1</v>
      </c>
      <c r="D11">
        <v>0</v>
      </c>
      <c r="E11">
        <v>0</v>
      </c>
      <c r="F11">
        <v>1</v>
      </c>
      <c r="G11">
        <v>0</v>
      </c>
    </row>
    <row r="12" spans="1:7" x14ac:dyDescent="0.3">
      <c r="A12" t="s">
        <v>67</v>
      </c>
      <c r="B12">
        <v>1.397425583</v>
      </c>
      <c r="C12">
        <v>1</v>
      </c>
      <c r="D12">
        <v>1</v>
      </c>
      <c r="E12">
        <v>0</v>
      </c>
      <c r="F12">
        <v>1</v>
      </c>
      <c r="G12">
        <v>1</v>
      </c>
    </row>
    <row r="13" spans="1:7" x14ac:dyDescent="0.3">
      <c r="A13" t="s">
        <v>68</v>
      </c>
      <c r="B13">
        <v>1.4119066769999999</v>
      </c>
      <c r="C13">
        <v>1</v>
      </c>
      <c r="D13">
        <v>1</v>
      </c>
      <c r="E13">
        <v>0</v>
      </c>
      <c r="F13">
        <v>1</v>
      </c>
      <c r="G13">
        <v>0</v>
      </c>
    </row>
    <row r="14" spans="1:7" x14ac:dyDescent="0.3">
      <c r="A14" t="s">
        <v>160</v>
      </c>
      <c r="B14">
        <v>0.99839098999999998</v>
      </c>
      <c r="C14">
        <v>1</v>
      </c>
      <c r="D14">
        <v>0</v>
      </c>
      <c r="E14">
        <v>1</v>
      </c>
      <c r="F14">
        <v>0</v>
      </c>
      <c r="G14">
        <v>0</v>
      </c>
    </row>
    <row r="15" spans="1:7" x14ac:dyDescent="0.3">
      <c r="A15" t="s">
        <v>161</v>
      </c>
      <c r="B15">
        <v>1.5824617860000001</v>
      </c>
      <c r="C15">
        <v>0</v>
      </c>
      <c r="D15">
        <v>0</v>
      </c>
      <c r="E15">
        <v>0</v>
      </c>
      <c r="F15">
        <v>0</v>
      </c>
      <c r="G15">
        <v>1</v>
      </c>
    </row>
    <row r="16" spans="1:7" x14ac:dyDescent="0.3">
      <c r="A16" t="s">
        <v>162</v>
      </c>
      <c r="B16">
        <v>1.1415929199999999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3">
      <c r="A17" t="s">
        <v>75</v>
      </c>
      <c r="B17">
        <v>0.91069992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3">
      <c r="A18" t="s">
        <v>76</v>
      </c>
      <c r="B18">
        <v>1.0860820600000001</v>
      </c>
      <c r="C18">
        <v>1</v>
      </c>
      <c r="D18">
        <v>0</v>
      </c>
      <c r="E18">
        <v>0</v>
      </c>
      <c r="F18">
        <v>1</v>
      </c>
      <c r="G18">
        <v>0</v>
      </c>
    </row>
    <row r="19" spans="1:7" x14ac:dyDescent="0.3">
      <c r="A19" t="s">
        <v>77</v>
      </c>
      <c r="B19">
        <v>1.55993564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3">
      <c r="A20" t="s">
        <v>78</v>
      </c>
      <c r="B20">
        <v>2.242960579</v>
      </c>
      <c r="C20">
        <v>0</v>
      </c>
      <c r="D20">
        <v>1</v>
      </c>
      <c r="E20">
        <v>1</v>
      </c>
      <c r="F20">
        <v>0</v>
      </c>
      <c r="G20">
        <v>0</v>
      </c>
    </row>
    <row r="21" spans="1:7" x14ac:dyDescent="0.3">
      <c r="A21" t="s">
        <v>79</v>
      </c>
      <c r="B21">
        <v>2.7079646020000001</v>
      </c>
      <c r="C21">
        <v>0</v>
      </c>
      <c r="D21">
        <v>1</v>
      </c>
      <c r="E21">
        <v>1</v>
      </c>
      <c r="F21">
        <v>0</v>
      </c>
      <c r="G21">
        <v>0</v>
      </c>
    </row>
    <row r="22" spans="1:7" x14ac:dyDescent="0.3">
      <c r="A22" t="s">
        <v>80</v>
      </c>
      <c r="B22">
        <v>2.5728077229999999</v>
      </c>
      <c r="C22">
        <v>0</v>
      </c>
      <c r="D22">
        <v>1</v>
      </c>
      <c r="E22">
        <v>1</v>
      </c>
      <c r="F22">
        <v>0</v>
      </c>
      <c r="G22">
        <v>0</v>
      </c>
    </row>
    <row r="23" spans="1:7" x14ac:dyDescent="0.3">
      <c r="A23" t="s">
        <v>84</v>
      </c>
      <c r="B23">
        <v>1.328238134</v>
      </c>
      <c r="C23">
        <v>0</v>
      </c>
      <c r="D23">
        <v>1</v>
      </c>
      <c r="E23">
        <v>0</v>
      </c>
      <c r="F23">
        <v>1</v>
      </c>
      <c r="G23">
        <v>1</v>
      </c>
    </row>
    <row r="24" spans="1:7" x14ac:dyDescent="0.3">
      <c r="A24" t="s">
        <v>85</v>
      </c>
      <c r="B24">
        <v>2.1946902650000002</v>
      </c>
      <c r="C24">
        <v>0</v>
      </c>
      <c r="D24">
        <v>1</v>
      </c>
      <c r="E24">
        <v>0</v>
      </c>
      <c r="F24">
        <v>1</v>
      </c>
      <c r="G24">
        <v>0</v>
      </c>
    </row>
    <row r="25" spans="1:7" x14ac:dyDescent="0.3">
      <c r="A25" t="s">
        <v>86</v>
      </c>
      <c r="B25">
        <v>2.6709573610000001</v>
      </c>
      <c r="C25">
        <v>0</v>
      </c>
      <c r="D25">
        <v>1</v>
      </c>
      <c r="E25">
        <v>0</v>
      </c>
      <c r="F25">
        <v>1</v>
      </c>
      <c r="G25">
        <v>0</v>
      </c>
    </row>
    <row r="26" spans="1:7" x14ac:dyDescent="0.3">
      <c r="A26" t="s">
        <v>87</v>
      </c>
      <c r="B26">
        <v>1.1576830250000001</v>
      </c>
      <c r="C26">
        <v>1</v>
      </c>
      <c r="D26">
        <v>1</v>
      </c>
      <c r="E26">
        <v>1</v>
      </c>
      <c r="F26">
        <v>0</v>
      </c>
      <c r="G26">
        <v>0</v>
      </c>
    </row>
    <row r="27" spans="1:7" x14ac:dyDescent="0.3">
      <c r="A27" t="s">
        <v>88</v>
      </c>
      <c r="B27">
        <v>1.0555108609999999</v>
      </c>
      <c r="C27">
        <v>1</v>
      </c>
      <c r="D27">
        <v>1</v>
      </c>
      <c r="E27">
        <v>1</v>
      </c>
      <c r="F27">
        <v>0</v>
      </c>
      <c r="G27">
        <v>1</v>
      </c>
    </row>
    <row r="28" spans="1:7" x14ac:dyDescent="0.3">
      <c r="A28" t="s">
        <v>89</v>
      </c>
      <c r="B28">
        <v>1.0120675779999999</v>
      </c>
      <c r="C28">
        <v>0</v>
      </c>
      <c r="D28">
        <v>1</v>
      </c>
      <c r="E28">
        <v>1</v>
      </c>
      <c r="F28">
        <v>0</v>
      </c>
      <c r="G28">
        <v>0</v>
      </c>
    </row>
    <row r="29" spans="1:7" x14ac:dyDescent="0.3">
      <c r="A29" t="s">
        <v>90</v>
      </c>
      <c r="B29">
        <v>1.08769107</v>
      </c>
      <c r="C29">
        <v>1</v>
      </c>
      <c r="D29">
        <v>1</v>
      </c>
      <c r="E29">
        <v>0</v>
      </c>
      <c r="F29">
        <v>1</v>
      </c>
      <c r="G29">
        <v>1</v>
      </c>
    </row>
    <row r="30" spans="1:7" x14ac:dyDescent="0.3">
      <c r="A30" t="s">
        <v>91</v>
      </c>
      <c r="B30">
        <v>1.2421560739999999</v>
      </c>
      <c r="C30">
        <v>0</v>
      </c>
      <c r="D30">
        <v>1</v>
      </c>
      <c r="E30">
        <v>0</v>
      </c>
      <c r="F30">
        <v>1</v>
      </c>
      <c r="G30">
        <v>1</v>
      </c>
    </row>
    <row r="31" spans="1:7" x14ac:dyDescent="0.3">
      <c r="A31" t="s">
        <v>92</v>
      </c>
      <c r="B31">
        <v>1.1786001610000001</v>
      </c>
      <c r="C31">
        <v>1</v>
      </c>
      <c r="D31">
        <v>1</v>
      </c>
      <c r="E31">
        <v>0</v>
      </c>
      <c r="F31">
        <v>1</v>
      </c>
      <c r="G31">
        <v>1</v>
      </c>
    </row>
    <row r="32" spans="1:7" x14ac:dyDescent="0.3">
      <c r="A32" t="s">
        <v>96</v>
      </c>
      <c r="B32">
        <v>1.1166532579999999</v>
      </c>
      <c r="C32">
        <v>1</v>
      </c>
      <c r="D32">
        <v>0</v>
      </c>
      <c r="E32">
        <v>1</v>
      </c>
      <c r="F32">
        <v>0</v>
      </c>
      <c r="G32">
        <v>0</v>
      </c>
    </row>
    <row r="33" spans="1:7" x14ac:dyDescent="0.3">
      <c r="A33" t="s">
        <v>97</v>
      </c>
      <c r="B33">
        <v>1.058728882</v>
      </c>
      <c r="C33">
        <v>1</v>
      </c>
      <c r="D33">
        <v>1</v>
      </c>
      <c r="E33">
        <v>1</v>
      </c>
      <c r="F33">
        <v>0</v>
      </c>
      <c r="G33">
        <v>0</v>
      </c>
    </row>
    <row r="34" spans="1:7" x14ac:dyDescent="0.3">
      <c r="A34" t="s">
        <v>98</v>
      </c>
      <c r="B34">
        <v>0.93000804500000001</v>
      </c>
      <c r="C34">
        <v>1</v>
      </c>
      <c r="D34">
        <v>1</v>
      </c>
      <c r="E34">
        <v>1</v>
      </c>
      <c r="F34">
        <v>0</v>
      </c>
      <c r="G34">
        <v>0</v>
      </c>
    </row>
    <row r="35" spans="1:7" x14ac:dyDescent="0.3">
      <c r="A35" t="s">
        <v>99</v>
      </c>
      <c r="B35">
        <v>1.102172164</v>
      </c>
      <c r="C35">
        <v>0</v>
      </c>
      <c r="D35">
        <v>0</v>
      </c>
      <c r="E35">
        <v>0</v>
      </c>
      <c r="F35">
        <v>0</v>
      </c>
      <c r="G35">
        <v>1</v>
      </c>
    </row>
    <row r="36" spans="1:7" x14ac:dyDescent="0.3">
      <c r="A36" t="s">
        <v>100</v>
      </c>
      <c r="B36">
        <v>1.238938053</v>
      </c>
      <c r="C36">
        <v>1</v>
      </c>
      <c r="D36">
        <v>1</v>
      </c>
      <c r="E36">
        <v>0</v>
      </c>
      <c r="F36">
        <v>1</v>
      </c>
      <c r="G36">
        <v>1</v>
      </c>
    </row>
    <row r="37" spans="1:7" x14ac:dyDescent="0.3">
      <c r="A37" t="s">
        <v>101</v>
      </c>
      <c r="B37">
        <v>1.2139983910000001</v>
      </c>
      <c r="C37">
        <v>1</v>
      </c>
      <c r="D37">
        <v>1</v>
      </c>
      <c r="E37">
        <v>0</v>
      </c>
      <c r="F37">
        <v>0</v>
      </c>
      <c r="G37">
        <v>0</v>
      </c>
    </row>
    <row r="38" spans="1:7" x14ac:dyDescent="0.3">
      <c r="A38" t="s">
        <v>102</v>
      </c>
      <c r="B38">
        <v>2.372485921</v>
      </c>
      <c r="C38">
        <v>0</v>
      </c>
      <c r="D38">
        <v>1</v>
      </c>
      <c r="E38">
        <v>1</v>
      </c>
      <c r="F38">
        <v>0</v>
      </c>
      <c r="G38">
        <v>0</v>
      </c>
    </row>
    <row r="39" spans="1:7" x14ac:dyDescent="0.3">
      <c r="A39" t="s">
        <v>103</v>
      </c>
      <c r="B39">
        <v>0.919549477</v>
      </c>
      <c r="C39">
        <v>1</v>
      </c>
      <c r="D39">
        <v>1</v>
      </c>
      <c r="E39">
        <v>1</v>
      </c>
      <c r="F39">
        <v>0</v>
      </c>
      <c r="G39">
        <v>0</v>
      </c>
    </row>
    <row r="40" spans="1:7" x14ac:dyDescent="0.3">
      <c r="A40" t="s">
        <v>104</v>
      </c>
      <c r="B40">
        <v>1.048270314</v>
      </c>
      <c r="C40">
        <v>1</v>
      </c>
      <c r="D40">
        <v>1</v>
      </c>
      <c r="E40">
        <v>1</v>
      </c>
      <c r="F40">
        <v>0</v>
      </c>
      <c r="G40">
        <v>1</v>
      </c>
    </row>
    <row r="41" spans="1:7" x14ac:dyDescent="0.3">
      <c r="A41" t="s">
        <v>105</v>
      </c>
      <c r="B41">
        <v>1.056315366</v>
      </c>
      <c r="C41">
        <v>1</v>
      </c>
      <c r="D41">
        <v>1</v>
      </c>
      <c r="E41">
        <v>0</v>
      </c>
      <c r="F41">
        <v>1</v>
      </c>
      <c r="G41">
        <v>1</v>
      </c>
    </row>
    <row r="42" spans="1:7" x14ac:dyDescent="0.3">
      <c r="A42" t="s">
        <v>106</v>
      </c>
      <c r="B42">
        <v>1.415929204</v>
      </c>
      <c r="C42">
        <v>1</v>
      </c>
      <c r="D42">
        <v>1</v>
      </c>
      <c r="E42">
        <v>0</v>
      </c>
      <c r="F42">
        <v>0</v>
      </c>
      <c r="G42">
        <v>0</v>
      </c>
    </row>
    <row r="43" spans="1:7" x14ac:dyDescent="0.3">
      <c r="A43" t="s">
        <v>107</v>
      </c>
      <c r="B43">
        <v>1.240547064</v>
      </c>
      <c r="C43">
        <v>1</v>
      </c>
      <c r="D43">
        <v>1</v>
      </c>
      <c r="E43">
        <v>0</v>
      </c>
      <c r="F43">
        <v>0</v>
      </c>
      <c r="G43">
        <v>1</v>
      </c>
    </row>
    <row r="44" spans="1:7" x14ac:dyDescent="0.3">
      <c r="A44" t="s">
        <v>108</v>
      </c>
      <c r="B44">
        <v>1.274336283</v>
      </c>
      <c r="C44">
        <v>0</v>
      </c>
      <c r="D44">
        <v>0</v>
      </c>
      <c r="E44">
        <v>1</v>
      </c>
      <c r="F44">
        <v>0</v>
      </c>
      <c r="G44">
        <v>0</v>
      </c>
    </row>
    <row r="45" spans="1:7" x14ac:dyDescent="0.3">
      <c r="A45" t="s">
        <v>109</v>
      </c>
      <c r="B45">
        <v>1.5470635559999999</v>
      </c>
      <c r="C45">
        <v>0</v>
      </c>
      <c r="D45">
        <v>1</v>
      </c>
      <c r="E45">
        <v>1</v>
      </c>
      <c r="F45">
        <v>0</v>
      </c>
      <c r="G45">
        <v>0</v>
      </c>
    </row>
    <row r="46" spans="1:7" x14ac:dyDescent="0.3">
      <c r="A46" t="s">
        <v>110</v>
      </c>
      <c r="B46">
        <v>2.9364440869999999</v>
      </c>
      <c r="C46">
        <v>0</v>
      </c>
      <c r="D46">
        <v>0</v>
      </c>
      <c r="E46">
        <v>0</v>
      </c>
      <c r="F46">
        <v>0</v>
      </c>
      <c r="G46">
        <v>1</v>
      </c>
    </row>
    <row r="47" spans="1:7" x14ac:dyDescent="0.3">
      <c r="A47" t="s">
        <v>111</v>
      </c>
      <c r="B47">
        <v>1.535800483</v>
      </c>
      <c r="C47">
        <v>0</v>
      </c>
      <c r="D47">
        <v>1</v>
      </c>
      <c r="E47">
        <v>0</v>
      </c>
      <c r="F47">
        <v>1</v>
      </c>
      <c r="G47">
        <v>0</v>
      </c>
    </row>
    <row r="48" spans="1:7" x14ac:dyDescent="0.3">
      <c r="A48" t="s">
        <v>112</v>
      </c>
      <c r="B48">
        <v>1.970233307</v>
      </c>
      <c r="C48">
        <v>0</v>
      </c>
      <c r="D48">
        <v>1</v>
      </c>
      <c r="E48">
        <v>0</v>
      </c>
      <c r="F48">
        <v>1</v>
      </c>
      <c r="G48">
        <v>1</v>
      </c>
    </row>
    <row r="49" spans="1:7" x14ac:dyDescent="0.3">
      <c r="A49" t="s">
        <v>113</v>
      </c>
      <c r="B49">
        <v>2.1182622690000001</v>
      </c>
      <c r="C49">
        <v>0</v>
      </c>
      <c r="D49">
        <v>1</v>
      </c>
      <c r="E49">
        <v>0</v>
      </c>
      <c r="F49">
        <v>1</v>
      </c>
      <c r="G49">
        <v>0</v>
      </c>
    </row>
    <row r="50" spans="1:7" x14ac:dyDescent="0.3">
      <c r="A50" t="s">
        <v>123</v>
      </c>
      <c r="B50">
        <v>0.82622686999999995</v>
      </c>
      <c r="C50">
        <v>1</v>
      </c>
      <c r="D50">
        <v>0</v>
      </c>
      <c r="E50">
        <v>1</v>
      </c>
      <c r="F50">
        <v>0</v>
      </c>
      <c r="G50">
        <v>0</v>
      </c>
    </row>
    <row r="51" spans="1:7" x14ac:dyDescent="0.3">
      <c r="A51" t="s">
        <v>124</v>
      </c>
      <c r="B51">
        <v>0.96540627499999998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 x14ac:dyDescent="0.3">
      <c r="A52" t="s">
        <v>124</v>
      </c>
      <c r="B52">
        <v>1.2518101370000001</v>
      </c>
      <c r="C52">
        <v>1</v>
      </c>
      <c r="D52">
        <v>0</v>
      </c>
      <c r="E52">
        <v>1</v>
      </c>
      <c r="F52">
        <v>0</v>
      </c>
      <c r="G52">
        <v>0</v>
      </c>
    </row>
    <row r="53" spans="1:7" x14ac:dyDescent="0.3">
      <c r="A53" t="s">
        <v>125</v>
      </c>
      <c r="B53">
        <v>1.2670957359999999</v>
      </c>
      <c r="C53">
        <v>0</v>
      </c>
      <c r="D53">
        <v>0</v>
      </c>
      <c r="E53">
        <v>0</v>
      </c>
      <c r="F53">
        <v>1</v>
      </c>
      <c r="G53">
        <v>1</v>
      </c>
    </row>
    <row r="54" spans="1:7" x14ac:dyDescent="0.3">
      <c r="A54" t="s">
        <v>126</v>
      </c>
      <c r="B54">
        <v>0.89300080500000001</v>
      </c>
      <c r="C54">
        <v>0</v>
      </c>
      <c r="D54">
        <v>0</v>
      </c>
      <c r="E54">
        <v>0</v>
      </c>
      <c r="F54">
        <v>1</v>
      </c>
      <c r="G54">
        <v>1</v>
      </c>
    </row>
    <row r="55" spans="1:7" x14ac:dyDescent="0.3">
      <c r="A55" t="s">
        <v>127</v>
      </c>
      <c r="B55">
        <v>0.95897023299999995</v>
      </c>
      <c r="C55">
        <v>1</v>
      </c>
      <c r="D55">
        <v>0</v>
      </c>
      <c r="E55">
        <v>0</v>
      </c>
      <c r="F55">
        <v>0</v>
      </c>
      <c r="G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14</vt:i4>
      </vt:variant>
    </vt:vector>
  </HeadingPairs>
  <TitlesOfParts>
    <vt:vector size="14" baseType="lpstr">
      <vt:lpstr>Fig. 1 + 3</vt:lpstr>
      <vt:lpstr>Fig. 4</vt:lpstr>
      <vt:lpstr>Fig. S1A+B</vt:lpstr>
      <vt:lpstr>Fig. S3</vt:lpstr>
      <vt:lpstr>Fig. S4</vt:lpstr>
      <vt:lpstr>Fig. S5</vt:lpstr>
      <vt:lpstr>Fig. S6</vt:lpstr>
      <vt:lpstr>Fig. S7</vt:lpstr>
      <vt:lpstr>Fig. S8</vt:lpstr>
      <vt:lpstr>Fig. S9</vt:lpstr>
      <vt:lpstr>Fig. S10</vt:lpstr>
      <vt:lpstr>Fig. S11</vt:lpstr>
      <vt:lpstr>Fig. S12</vt:lpstr>
      <vt:lpstr>Fig. S13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Antunes</dc:creator>
  <cp:lastModifiedBy>BERNARDO PAIVA ANTUNES</cp:lastModifiedBy>
  <dcterms:created xsi:type="dcterms:W3CDTF">2024-05-17T12:14:34Z</dcterms:created>
  <dcterms:modified xsi:type="dcterms:W3CDTF">2024-05-22T19:08:38Z</dcterms:modified>
</cp:coreProperties>
</file>